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K070581\Desktop\"/>
    </mc:Choice>
  </mc:AlternateContent>
  <xr:revisionPtr revIDLastSave="0" documentId="8_{72DAD865-FD22-4092-9BDF-83CCADEB4972}" xr6:coauthVersionLast="47" xr6:coauthVersionMax="47" xr10:uidLastSave="{00000000-0000-0000-0000-000000000000}"/>
  <bookViews>
    <workbookView xWindow="-108" yWindow="-108" windowWidth="23256" windowHeight="12456" xr2:uid="{B440524D-4503-4223-B744-A1102D7E3466}"/>
  </bookViews>
  <sheets>
    <sheet name="見積書" sheetId="1" r:id="rId1"/>
  </sheets>
  <externalReferences>
    <externalReference r:id="rId2"/>
  </externalReferences>
  <definedNames>
    <definedName name="JASS8_トーチ">[1]!MethodTable[JASS8_トーチ]</definedName>
    <definedName name="JASS8_常温">[1]!MethodTable[JASS8_常温]</definedName>
    <definedName name="JASS8_塗膜">[1]!MethodTable[JASS8_塗膜]</definedName>
    <definedName name="JASS8_熱アス">[1]!MethodTable[JASS8_熱アス]</definedName>
    <definedName name="_xlnm.Print_Area" localSheetId="0">見積書!$A$1:$AL$48</definedName>
    <definedName name="SARDシステム">[1]!MethodTable[SARDシステム]</definedName>
    <definedName name="アスファルト防水">[1]!MethodTable[アスファルト防水]</definedName>
    <definedName name="クロスアーマー防水">[1]!MethodTable[クロスアーマー防水]</definedName>
    <definedName name="サルコート">[1]!MethodTable[サルコート]</definedName>
    <definedName name="サルコート・エコ">[1]!MethodTable[サルコート･エコ]</definedName>
    <definedName name="タフネスAP工法">[1]!MethodTable[タフネスAP工法]</definedName>
    <definedName name="タフネスファイン">[1]!MethodTable[タフネスファイン]</definedName>
    <definedName name="ハイネス防水">[1]!MethodTable[ハイネス防水]</definedName>
    <definedName name="ページ1">見積書!$A$1:$AL$48</definedName>
    <definedName name="ページ2">見積書!#REF!</definedName>
    <definedName name="ページ3">見積書!#REF!</definedName>
    <definedName name="ページ4">見積書!#REF!</definedName>
    <definedName name="ページ5">見積書!#REF!</definedName>
    <definedName name="ページ6">見積書!#REF!</definedName>
    <definedName name="ラピネス防水">[1]!MethodTable[ラピネス防水]</definedName>
    <definedName name="ルーフガード工法">[1]!MethodTable[ルーフガード工法]</definedName>
    <definedName name="ワンコート">[1]!MethodTable[ワンコート]</definedName>
    <definedName name="架台防水">[1]!MethodTable[架台防水]</definedName>
    <definedName name="旧タフネス防水">[1]!MethodTable[旧タフネス防水]</definedName>
    <definedName name="国交省仕様_トーチ">[1]!MethodTable[国交省仕様_トーチ]</definedName>
    <definedName name="国交省仕様_常温">[1]!MethodTable[国交省仕様_常温]</definedName>
    <definedName name="国交省仕様_塗膜">[1]!MethodTable[国交省仕様_塗膜]</definedName>
    <definedName name="国交省仕様_熱アス">[1]!MethodTable[国交省仕様_熱アス]</definedName>
    <definedName name="材料_SARDシステム">[1]!MterialTable[SARDシステム]</definedName>
    <definedName name="材料_アスファルト">[1]!MterialTable[アスファルト]</definedName>
    <definedName name="材料_クロスアーマー">[1]!MterialTable[クロスアーマー]</definedName>
    <definedName name="材料_サルコート">[1]!MterialTable[サルコート]</definedName>
    <definedName name="材料_サルコート･エコ">[1]!MterialTable[サルコート･エコ]</definedName>
    <definedName name="材料_その他">[1]!MterialTable[その他]</definedName>
    <definedName name="材料_タフネスAP工法">[1]!MterialTable[タフネスAP工法]</definedName>
    <definedName name="材料_タフネスファイン">[1]!MterialTable[タフネスファイン]</definedName>
    <definedName name="材料_ハイネス">[1]!MterialTable[ハイネス]</definedName>
    <definedName name="材料_ピン・ディスク">[1]!MterialTable[ピン・ディスク]</definedName>
    <definedName name="材料_プライマー">[1]!MterialTable[プライマー]</definedName>
    <definedName name="材料_ラピネス">[1]!MterialTable[ラピネス]</definedName>
    <definedName name="材料_ルーフガード工法">[1]!MterialTable[ルーフガード工法]</definedName>
    <definedName name="材料_ワンコート">[1]!MterialTable[ワンコート]</definedName>
    <definedName name="材料_下地調整材">[1]!MterialTable[下地調整材]</definedName>
    <definedName name="材料_架台">[1]!MterialTable[架台]</definedName>
    <definedName name="材料_旧タフネス防水">[1]!MterialTable[旧タフネス防水]</definedName>
    <definedName name="材料_接着剤">[1]!MterialTable[接着剤]</definedName>
    <definedName name="材料_脱気筒・ドレーン">[1]!MterialTable[脱気筒・ドレーン]</definedName>
    <definedName name="材料_断熱材">[1]!MterialTable[断熱材]</definedName>
    <definedName name="材料_保護仕上げ材">[1]!MterialTable[保護仕上げ材]</definedName>
    <definedName name="材料_保護塗料">[1]!MterialTable[保護塗料]</definedName>
    <definedName name="材料種類">[1]!MterialTable[#Headers]</definedName>
    <definedName name="仕様種類">[1]!MethodTable[#Headers]</definedName>
    <definedName name="保護塗料一覧">[1]!TC[商品名]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5" i="1" l="1"/>
  <c r="Y44" i="1"/>
  <c r="Y43" i="1"/>
  <c r="Y40" i="1"/>
  <c r="Y39" i="1"/>
  <c r="Y38" i="1"/>
  <c r="Y37" i="1"/>
  <c r="Y36" i="1"/>
  <c r="Y35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AE1" i="1"/>
  <c r="Y34" i="1" l="1"/>
  <c r="Y41" i="1"/>
  <c r="Y42" i="1" s="1"/>
  <c r="Y46" i="1" s="1"/>
  <c r="Y48" i="1" s="1"/>
  <c r="G7" i="1" s="1"/>
</calcChain>
</file>

<file path=xl/sharedStrings.xml><?xml version="1.0" encoding="utf-8"?>
<sst xmlns="http://schemas.openxmlformats.org/spreadsheetml/2006/main" count="89" uniqueCount="67">
  <si>
    <t>御　見　積　書</t>
    <rPh sb="0" eb="1">
      <t>オ</t>
    </rPh>
    <rPh sb="2" eb="3">
      <t>ミ</t>
    </rPh>
    <rPh sb="4" eb="5">
      <t>セキ</t>
    </rPh>
    <rPh sb="6" eb="7">
      <t>ショ</t>
    </rPh>
    <phoneticPr fontId="6"/>
  </si>
  <si>
    <t>ﾏﾈｰｼﾞｬｰ</t>
    <phoneticPr fontId="6"/>
  </si>
  <si>
    <t>担当者</t>
  </si>
  <si>
    <t>御見積金額</t>
    <rPh sb="0" eb="3">
      <t>オミツモリ</t>
    </rPh>
    <rPh sb="3" eb="5">
      <t>キンガク</t>
    </rPh>
    <phoneticPr fontId="6"/>
  </si>
  <si>
    <t>(税別)</t>
    <rPh sb="1" eb="3">
      <t>ゼイベツ</t>
    </rPh>
    <phoneticPr fontId="6"/>
  </si>
  <si>
    <t>工事店</t>
  </si>
  <si>
    <t>依頼年月日</t>
  </si>
  <si>
    <t>物件名</t>
  </si>
  <si>
    <t>元請</t>
  </si>
  <si>
    <t>部位</t>
  </si>
  <si>
    <t>仕様</t>
  </si>
  <si>
    <t>面積</t>
  </si>
  <si>
    <t>平場</t>
  </si>
  <si>
    <t>ASI-T1</t>
  </si>
  <si>
    <t>平場(排水溝他)</t>
  </si>
  <si>
    <t>AS-T1</t>
  </si>
  <si>
    <t>平場＋平場(排水溝他)</t>
  </si>
  <si>
    <t>材料名</t>
  </si>
  <si>
    <t>数量</t>
    <rPh sb="0" eb="1">
      <t>スウ</t>
    </rPh>
    <rPh sb="1" eb="2">
      <t>リョウ</t>
    </rPh>
    <phoneticPr fontId="12"/>
  </si>
  <si>
    <t>単位</t>
    <rPh sb="0" eb="1">
      <t>タン</t>
    </rPh>
    <rPh sb="1" eb="2">
      <t>クライ</t>
    </rPh>
    <phoneticPr fontId="12"/>
  </si>
  <si>
    <t>単価</t>
    <rPh sb="0" eb="1">
      <t>タン</t>
    </rPh>
    <rPh sb="1" eb="2">
      <t>アタイ</t>
    </rPh>
    <phoneticPr fontId="12"/>
  </si>
  <si>
    <t>金額</t>
    <rPh sb="0" eb="1">
      <t>キン</t>
    </rPh>
    <rPh sb="1" eb="2">
      <t>ガク</t>
    </rPh>
    <phoneticPr fontId="12"/>
  </si>
  <si>
    <t>備考</t>
    <rPh sb="0" eb="1">
      <t>ソナエ</t>
    </rPh>
    <rPh sb="1" eb="2">
      <t>コウ</t>
    </rPh>
    <phoneticPr fontId="6"/>
  </si>
  <si>
    <t>≪平場≫</t>
  </si>
  <si>
    <t>エバーゾール 100P</t>
  </si>
  <si>
    <t>缶</t>
  </si>
  <si>
    <t>16kg/缶</t>
  </si>
  <si>
    <t>ネオファルト</t>
  </si>
  <si>
    <t>21kg/缶</t>
  </si>
  <si>
    <t>RAボードU 30㎜</t>
  </si>
  <si>
    <t>枚</t>
  </si>
  <si>
    <t>910mm×605mm</t>
  </si>
  <si>
    <t>ハイネスシート SW-T</t>
  </si>
  <si>
    <t>本</t>
  </si>
  <si>
    <t>1m×10m/本</t>
  </si>
  <si>
    <t>ラピネステープ W200</t>
  </si>
  <si>
    <t>セット</t>
  </si>
  <si>
    <t>200mm×8m/巻(5巻入)</t>
  </si>
  <si>
    <t>ラピネスシート GR400</t>
  </si>
  <si>
    <t>1m×8m/本</t>
  </si>
  <si>
    <t>フジカラートップ遮熱 シルバーグレー</t>
  </si>
  <si>
    <t>15kg/缶</t>
  </si>
  <si>
    <t>アスセメント</t>
  </si>
  <si>
    <t>20kg/缶</t>
  </si>
  <si>
    <t>彩色カバータイト グレー</t>
  </si>
  <si>
    <t>1m×0.5m/枚</t>
  </si>
  <si>
    <t>二重脱気筒(露出断熱 平場用)</t>
  </si>
  <si>
    <t>箱</t>
  </si>
  <si>
    <t>1個/箱</t>
  </si>
  <si>
    <t>コーナーキャント</t>
  </si>
  <si>
    <t>0.91m/本(100本入)</t>
  </si>
  <si>
    <t>ハイネスTFシート</t>
  </si>
  <si>
    <t>小計</t>
  </si>
  <si>
    <t/>
  </si>
  <si>
    <t>≪平場＋平場(排水溝他)≫</t>
    <phoneticPr fontId="12"/>
  </si>
  <si>
    <t>エバーゾール 100P</t>
    <phoneticPr fontId="12"/>
  </si>
  <si>
    <t>缶</t>
    <phoneticPr fontId="12"/>
  </si>
  <si>
    <t>ラピネスシート PW250</t>
    <phoneticPr fontId="12"/>
  </si>
  <si>
    <t>本</t>
    <phoneticPr fontId="12"/>
  </si>
  <si>
    <t>ラピネスシート GR400</t>
    <phoneticPr fontId="12"/>
  </si>
  <si>
    <t>フジカラートップ遮熱 シルバーグレー</t>
    <phoneticPr fontId="12"/>
  </si>
  <si>
    <t>ハイネスTFテープ W200</t>
    <phoneticPr fontId="12"/>
  </si>
  <si>
    <t>200mm×10m/巻(5巻入)</t>
  </si>
  <si>
    <t>材料費計</t>
    <rPh sb="0" eb="3">
      <t>ザイリョウヒ</t>
    </rPh>
    <rPh sb="3" eb="4">
      <t>ケイ</t>
    </rPh>
    <phoneticPr fontId="12"/>
  </si>
  <si>
    <t>運賃</t>
    <rPh sb="0" eb="2">
      <t>ウンチン</t>
    </rPh>
    <phoneticPr fontId="12"/>
  </si>
  <si>
    <t>合計</t>
    <rPh sb="0" eb="2">
      <t>ゴウケイ</t>
    </rPh>
    <phoneticPr fontId="12"/>
  </si>
  <si>
    <t>1/1頁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</si>
</sst>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¥&quot;#,##0\-;&quot;¥&quot;\-#,##0\-"/>
    <numFmt numFmtId="177" formatCode="\ @"/>
    <numFmt numFmtId="178" formatCode="\ yyyy&quot;年&quot;m&quot;月&quot;d&quot;日&quot;"/>
    <numFmt numFmtId="179" formatCode="#,###.0&quot; ㎡&quot;\ \ ;"/>
    <numFmt numFmtId="180" formatCode="#,##0_ ;[Red]\-#,##0\ "/>
    <numFmt numFmtId="181" formatCode="#,##0_ "/>
    <numFmt numFmtId="182" formatCode="#,##0\ ;[Red]\-#,##0\ "/>
  </numFmts>
  <fonts count="19">
    <font>
      <sz val="11"/>
      <color theme="1"/>
      <name val="MS ゴシック"/>
      <family val="2"/>
      <charset val="128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MS ゴシック"/>
      <family val="2"/>
      <charset val="128"/>
    </font>
    <font>
      <sz val="11"/>
      <color theme="1"/>
      <name val="ＭＳ Ｐゴシック"/>
      <family val="2"/>
      <charset val="128"/>
      <scheme val="minor"/>
    </font>
    <font>
      <b/>
      <u/>
      <sz val="24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16"/>
      <name val="ＭＳ Ｐ明朝"/>
      <family val="1"/>
      <charset val="128"/>
    </font>
    <font>
      <b/>
      <sz val="11"/>
      <color rgb="FFFF0000"/>
      <name val="ＭＳ Ｐ明朝"/>
      <family val="1"/>
      <charset val="128"/>
    </font>
    <font>
      <b/>
      <sz val="14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b/>
      <sz val="20"/>
      <color rgb="FFFF0000"/>
      <name val="ＭＳ Ｐ明朝"/>
      <family val="1"/>
      <charset val="128"/>
    </font>
    <font>
      <sz val="11"/>
      <color indexed="10"/>
      <name val="ＭＳ Ｐ明朝"/>
      <family val="1"/>
      <charset val="128"/>
    </font>
    <font>
      <sz val="16"/>
      <color indexed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12"/>
      <name val="ＭＳ Ｐ明朝"/>
      <family val="1"/>
      <charset val="128"/>
    </font>
    <font>
      <sz val="12"/>
      <color rgb="FFFF0000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1" fillId="0" borderId="0"/>
    <xf numFmtId="38" fontId="1" fillId="0" borderId="0" applyFont="0" applyFill="0" applyBorder="0" applyAlignment="0" applyProtection="0"/>
  </cellStyleXfs>
  <cellXfs count="166">
    <xf numFmtId="0" fontId="0" fillId="0" borderId="0" xfId="0">
      <alignment vertical="center"/>
    </xf>
    <xf numFmtId="0" fontId="2" fillId="2" borderId="0" xfId="2" applyFont="1" applyFill="1" applyAlignment="1">
      <alignment vertical="center"/>
    </xf>
    <xf numFmtId="0" fontId="2" fillId="3" borderId="0" xfId="2" applyFont="1" applyFill="1" applyAlignment="1" applyProtection="1">
      <alignment vertical="center"/>
      <protection locked="0"/>
    </xf>
    <xf numFmtId="0" fontId="2" fillId="0" borderId="0" xfId="2" applyFont="1" applyAlignment="1" applyProtection="1">
      <alignment vertical="center"/>
      <protection locked="0"/>
    </xf>
    <xf numFmtId="0" fontId="9" fillId="0" borderId="0" xfId="2" applyFont="1" applyAlignment="1" applyProtection="1">
      <alignment vertical="center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0" fontId="10" fillId="0" borderId="0" xfId="2" applyFont="1" applyAlignment="1" applyProtection="1">
      <alignment vertical="center"/>
      <protection locked="0"/>
    </xf>
    <xf numFmtId="0" fontId="14" fillId="0" borderId="5" xfId="2" applyFont="1" applyBorder="1" applyAlignment="1" applyProtection="1">
      <alignment vertical="center"/>
      <protection locked="0"/>
    </xf>
    <xf numFmtId="0" fontId="2" fillId="0" borderId="6" xfId="2" applyFont="1" applyBorder="1" applyAlignment="1" applyProtection="1">
      <alignment vertical="center"/>
      <protection locked="0"/>
    </xf>
    <xf numFmtId="0" fontId="2" fillId="0" borderId="7" xfId="2" applyFont="1" applyBorder="1" applyAlignment="1" applyProtection="1">
      <alignment vertical="center"/>
      <protection locked="0"/>
    </xf>
    <xf numFmtId="0" fontId="2" fillId="0" borderId="9" xfId="2" applyFont="1" applyBorder="1" applyAlignment="1" applyProtection="1">
      <alignment vertical="center"/>
      <protection locked="0"/>
    </xf>
    <xf numFmtId="0" fontId="2" fillId="0" borderId="10" xfId="2" applyFont="1" applyBorder="1" applyAlignment="1" applyProtection="1">
      <alignment vertical="center"/>
      <protection locked="0"/>
    </xf>
    <xf numFmtId="0" fontId="2" fillId="0" borderId="11" xfId="2" applyFont="1" applyBorder="1" applyAlignment="1" applyProtection="1">
      <alignment vertical="center"/>
      <protection locked="0"/>
    </xf>
    <xf numFmtId="0" fontId="11" fillId="0" borderId="0" xfId="2" applyFont="1" applyAlignment="1" applyProtection="1">
      <alignment vertical="center"/>
      <protection locked="0"/>
    </xf>
    <xf numFmtId="177" fontId="2" fillId="0" borderId="0" xfId="2" applyNumberFormat="1" applyFont="1" applyAlignment="1" applyProtection="1">
      <alignment vertical="center" shrinkToFit="1"/>
      <protection locked="0"/>
    </xf>
    <xf numFmtId="0" fontId="11" fillId="2" borderId="0" xfId="2" applyFont="1" applyFill="1" applyAlignment="1">
      <alignment vertical="center"/>
    </xf>
    <xf numFmtId="0" fontId="11" fillId="0" borderId="36" xfId="2" applyFont="1" applyBorder="1" applyAlignment="1" applyProtection="1">
      <alignment horizontal="right" vertical="center"/>
      <protection locked="0"/>
    </xf>
    <xf numFmtId="0" fontId="11" fillId="0" borderId="37" xfId="2" applyFont="1" applyBorder="1" applyAlignment="1" applyProtection="1">
      <alignment vertical="center"/>
      <protection locked="0"/>
    </xf>
    <xf numFmtId="0" fontId="2" fillId="0" borderId="37" xfId="2" applyFont="1" applyBorder="1" applyAlignment="1" applyProtection="1">
      <alignment vertical="center"/>
      <protection locked="0"/>
    </xf>
    <xf numFmtId="0" fontId="2" fillId="0" borderId="38" xfId="2" applyFont="1" applyBorder="1" applyAlignment="1" applyProtection="1">
      <alignment vertical="center"/>
      <protection locked="0"/>
    </xf>
    <xf numFmtId="0" fontId="2" fillId="0" borderId="29" xfId="2" applyFont="1" applyBorder="1" applyAlignment="1" applyProtection="1">
      <alignment vertical="center"/>
      <protection locked="0"/>
    </xf>
    <xf numFmtId="0" fontId="11" fillId="0" borderId="10" xfId="2" applyFont="1" applyBorder="1" applyAlignment="1" applyProtection="1">
      <alignment vertical="center"/>
      <protection locked="0"/>
    </xf>
    <xf numFmtId="0" fontId="2" fillId="0" borderId="41" xfId="2" applyFont="1" applyBorder="1" applyAlignment="1" applyProtection="1">
      <alignment vertical="center"/>
      <protection locked="0"/>
    </xf>
    <xf numFmtId="0" fontId="11" fillId="0" borderId="42" xfId="2" applyFont="1" applyBorder="1" applyAlignment="1" applyProtection="1">
      <alignment vertical="center"/>
      <protection locked="0"/>
    </xf>
    <xf numFmtId="0" fontId="17" fillId="0" borderId="42" xfId="2" applyFont="1" applyBorder="1" applyAlignment="1" applyProtection="1">
      <alignment vertical="center"/>
      <protection locked="0"/>
    </xf>
    <xf numFmtId="0" fontId="2" fillId="0" borderId="42" xfId="2" applyFont="1" applyBorder="1" applyAlignment="1" applyProtection="1">
      <alignment vertical="center"/>
      <protection locked="0"/>
    </xf>
    <xf numFmtId="0" fontId="17" fillId="0" borderId="43" xfId="2" applyFont="1" applyBorder="1" applyAlignment="1" applyProtection="1">
      <alignment vertical="center"/>
      <protection locked="0"/>
    </xf>
    <xf numFmtId="0" fontId="17" fillId="0" borderId="44" xfId="2" applyFont="1" applyBorder="1" applyAlignment="1" applyProtection="1">
      <alignment vertical="center"/>
      <protection locked="0"/>
    </xf>
    <xf numFmtId="0" fontId="11" fillId="0" borderId="45" xfId="2" applyFont="1" applyBorder="1" applyAlignment="1" applyProtection="1">
      <alignment horizontal="right" vertical="center"/>
      <protection locked="0"/>
    </xf>
    <xf numFmtId="0" fontId="11" fillId="0" borderId="42" xfId="2" applyFont="1" applyBorder="1" applyAlignment="1" applyProtection="1">
      <alignment horizontal="distributed" vertical="center"/>
      <protection locked="0"/>
    </xf>
    <xf numFmtId="182" fontId="2" fillId="0" borderId="44" xfId="1" applyNumberFormat="1" applyFont="1" applyBorder="1" applyAlignment="1" applyProtection="1">
      <alignment vertical="center"/>
      <protection locked="0"/>
    </xf>
    <xf numFmtId="182" fontId="2" fillId="0" borderId="42" xfId="1" applyNumberFormat="1" applyFont="1" applyBorder="1" applyAlignment="1" applyProtection="1">
      <alignment vertical="center"/>
      <protection locked="0"/>
    </xf>
    <xf numFmtId="182" fontId="2" fillId="0" borderId="43" xfId="1" applyNumberFormat="1" applyFont="1" applyBorder="1" applyAlignment="1" applyProtection="1">
      <alignment vertical="center"/>
      <protection locked="0"/>
    </xf>
    <xf numFmtId="0" fontId="11" fillId="0" borderId="37" xfId="2" applyFont="1" applyBorder="1" applyAlignment="1" applyProtection="1">
      <alignment horizontal="distributed" vertical="center"/>
      <protection locked="0"/>
    </xf>
    <xf numFmtId="181" fontId="2" fillId="0" borderId="39" xfId="2" applyNumberFormat="1" applyFont="1" applyBorder="1" applyAlignment="1" applyProtection="1">
      <alignment vertical="center"/>
      <protection locked="0"/>
    </xf>
    <xf numFmtId="181" fontId="2" fillId="0" borderId="37" xfId="2" applyNumberFormat="1" applyFont="1" applyBorder="1" applyAlignment="1" applyProtection="1">
      <alignment vertical="center"/>
      <protection locked="0"/>
    </xf>
    <xf numFmtId="181" fontId="2" fillId="0" borderId="38" xfId="2" applyNumberFormat="1" applyFont="1" applyBorder="1" applyAlignment="1" applyProtection="1">
      <alignment vertical="center"/>
      <protection locked="0"/>
    </xf>
    <xf numFmtId="177" fontId="2" fillId="0" borderId="39" xfId="2" applyNumberFormat="1" applyFont="1" applyBorder="1" applyAlignment="1" applyProtection="1">
      <alignment vertical="center"/>
      <protection locked="0"/>
    </xf>
    <xf numFmtId="177" fontId="2" fillId="0" borderId="37" xfId="2" applyNumberFormat="1" applyFont="1" applyBorder="1" applyAlignment="1" applyProtection="1">
      <alignment vertical="center"/>
      <protection locked="0"/>
    </xf>
    <xf numFmtId="177" fontId="2" fillId="0" borderId="40" xfId="2" applyNumberFormat="1" applyFont="1" applyBorder="1" applyAlignment="1" applyProtection="1">
      <alignment vertical="center"/>
      <protection locked="0"/>
    </xf>
    <xf numFmtId="0" fontId="11" fillId="0" borderId="12" xfId="2" applyFont="1" applyBorder="1" applyAlignment="1" applyProtection="1">
      <alignment horizontal="distributed" vertical="center"/>
      <protection locked="0"/>
    </xf>
    <xf numFmtId="181" fontId="2" fillId="0" borderId="20" xfId="2" applyNumberFormat="1" applyFont="1" applyBorder="1" applyAlignment="1" applyProtection="1">
      <alignment vertical="center"/>
      <protection locked="0"/>
    </xf>
    <xf numFmtId="181" fontId="2" fillId="0" borderId="12" xfId="2" applyNumberFormat="1" applyFont="1" applyBorder="1" applyAlignment="1" applyProtection="1">
      <alignment vertical="center"/>
      <protection locked="0"/>
    </xf>
    <xf numFmtId="181" fontId="2" fillId="0" borderId="19" xfId="2" applyNumberFormat="1" applyFont="1" applyBorder="1" applyAlignment="1" applyProtection="1">
      <alignment vertical="center"/>
      <protection locked="0"/>
    </xf>
    <xf numFmtId="0" fontId="2" fillId="0" borderId="20" xfId="2" applyFont="1" applyBorder="1" applyAlignment="1" applyProtection="1">
      <alignment vertical="center" shrinkToFit="1"/>
      <protection locked="0"/>
    </xf>
    <xf numFmtId="0" fontId="2" fillId="0" borderId="12" xfId="2" applyFont="1" applyBorder="1" applyAlignment="1" applyProtection="1">
      <alignment vertical="center" shrinkToFit="1"/>
      <protection locked="0"/>
    </xf>
    <xf numFmtId="0" fontId="2" fillId="0" borderId="21" xfId="2" applyFont="1" applyBorder="1" applyAlignment="1" applyProtection="1">
      <alignment vertical="center" shrinkToFit="1"/>
      <protection locked="0"/>
    </xf>
    <xf numFmtId="177" fontId="2" fillId="0" borderId="31" xfId="2" applyNumberFormat="1" applyFont="1" applyBorder="1" applyAlignment="1" applyProtection="1">
      <alignment horizontal="left" vertical="center" shrinkToFit="1"/>
      <protection locked="0"/>
    </xf>
    <xf numFmtId="177" fontId="2" fillId="0" borderId="32" xfId="2" applyNumberFormat="1" applyFont="1" applyBorder="1" applyAlignment="1" applyProtection="1">
      <alignment horizontal="left" vertical="center" shrinkToFit="1"/>
      <protection locked="0"/>
    </xf>
    <xf numFmtId="177" fontId="2" fillId="0" borderId="33" xfId="2" applyNumberFormat="1" applyFont="1" applyBorder="1" applyAlignment="1" applyProtection="1">
      <alignment horizontal="left" vertical="center" shrinkToFit="1"/>
      <protection locked="0"/>
    </xf>
    <xf numFmtId="38" fontId="2" fillId="0" borderId="34" xfId="3" applyFont="1" applyBorder="1" applyAlignment="1" applyProtection="1">
      <alignment horizontal="center" vertical="center"/>
      <protection locked="0"/>
    </xf>
    <xf numFmtId="38" fontId="2" fillId="0" borderId="32" xfId="3" applyFont="1" applyBorder="1" applyAlignment="1" applyProtection="1">
      <alignment horizontal="center" vertical="center"/>
      <protection locked="0"/>
    </xf>
    <xf numFmtId="38" fontId="2" fillId="0" borderId="33" xfId="3" applyFont="1" applyBorder="1" applyAlignment="1" applyProtection="1">
      <alignment horizontal="center" vertical="center"/>
      <protection locked="0"/>
    </xf>
    <xf numFmtId="180" fontId="2" fillId="0" borderId="34" xfId="3" applyNumberFormat="1" applyFont="1" applyBorder="1" applyAlignment="1" applyProtection="1">
      <alignment vertical="center"/>
      <protection locked="0"/>
    </xf>
    <xf numFmtId="180" fontId="2" fillId="0" borderId="32" xfId="3" applyNumberFormat="1" applyFont="1" applyBorder="1" applyAlignment="1" applyProtection="1">
      <alignment vertical="center"/>
      <protection locked="0"/>
    </xf>
    <xf numFmtId="180" fontId="2" fillId="0" borderId="33" xfId="3" applyNumberFormat="1" applyFont="1" applyBorder="1" applyAlignment="1" applyProtection="1">
      <alignment vertical="center"/>
      <protection locked="0"/>
    </xf>
    <xf numFmtId="181" fontId="2" fillId="0" borderId="34" xfId="2" applyNumberFormat="1" applyFont="1" applyBorder="1" applyAlignment="1" applyProtection="1">
      <alignment vertical="center"/>
      <protection locked="0"/>
    </xf>
    <xf numFmtId="181" fontId="2" fillId="0" borderId="32" xfId="2" applyNumberFormat="1" applyFont="1" applyBorder="1" applyAlignment="1" applyProtection="1">
      <alignment vertical="center"/>
      <protection locked="0"/>
    </xf>
    <xf numFmtId="181" fontId="2" fillId="0" borderId="33" xfId="2" applyNumberFormat="1" applyFont="1" applyBorder="1" applyAlignment="1" applyProtection="1">
      <alignment vertical="center"/>
      <protection locked="0"/>
    </xf>
    <xf numFmtId="177" fontId="2" fillId="0" borderId="34" xfId="2" applyNumberFormat="1" applyFont="1" applyBorder="1" applyAlignment="1" applyProtection="1">
      <alignment vertical="center"/>
      <protection locked="0"/>
    </xf>
    <xf numFmtId="177" fontId="2" fillId="0" borderId="32" xfId="2" applyNumberFormat="1" applyFont="1" applyBorder="1" applyAlignment="1" applyProtection="1">
      <alignment vertical="center"/>
      <protection locked="0"/>
    </xf>
    <xf numFmtId="177" fontId="2" fillId="0" borderId="35" xfId="2" applyNumberFormat="1" applyFont="1" applyBorder="1" applyAlignment="1" applyProtection="1">
      <alignment vertical="center"/>
      <protection locked="0"/>
    </xf>
    <xf numFmtId="177" fontId="2" fillId="0" borderId="22" xfId="2" applyNumberFormat="1" applyFont="1" applyBorder="1" applyAlignment="1" applyProtection="1">
      <alignment horizontal="left" vertical="center" shrinkToFit="1"/>
      <protection locked="0"/>
    </xf>
    <xf numFmtId="177" fontId="2" fillId="0" borderId="3" xfId="2" applyNumberFormat="1" applyFont="1" applyBorder="1" applyAlignment="1" applyProtection="1">
      <alignment horizontal="left" vertical="center" shrinkToFit="1"/>
      <protection locked="0"/>
    </xf>
    <xf numFmtId="177" fontId="2" fillId="0" borderId="4" xfId="2" applyNumberFormat="1" applyFont="1" applyBorder="1" applyAlignment="1" applyProtection="1">
      <alignment horizontal="left" vertical="center" shrinkToFit="1"/>
      <protection locked="0"/>
    </xf>
    <xf numFmtId="38" fontId="2" fillId="0" borderId="2" xfId="3" applyFont="1" applyBorder="1" applyAlignment="1" applyProtection="1">
      <alignment horizontal="center" vertical="center"/>
      <protection locked="0"/>
    </xf>
    <xf numFmtId="38" fontId="2" fillId="0" borderId="3" xfId="3" applyFont="1" applyBorder="1" applyAlignment="1" applyProtection="1">
      <alignment horizontal="center" vertical="center"/>
      <protection locked="0"/>
    </xf>
    <xf numFmtId="38" fontId="2" fillId="0" borderId="4" xfId="3" applyFont="1" applyBorder="1" applyAlignment="1" applyProtection="1">
      <alignment horizontal="center" vertical="center"/>
      <protection locked="0"/>
    </xf>
    <xf numFmtId="180" fontId="2" fillId="0" borderId="2" xfId="3" applyNumberFormat="1" applyFont="1" applyBorder="1" applyAlignment="1" applyProtection="1">
      <alignment vertical="center"/>
      <protection locked="0"/>
    </xf>
    <xf numFmtId="180" fontId="2" fillId="0" borderId="3" xfId="3" applyNumberFormat="1" applyFont="1" applyBorder="1" applyAlignment="1" applyProtection="1">
      <alignment vertical="center"/>
      <protection locked="0"/>
    </xf>
    <xf numFmtId="180" fontId="2" fillId="0" borderId="4" xfId="3" applyNumberFormat="1" applyFont="1" applyBorder="1" applyAlignment="1" applyProtection="1">
      <alignment vertical="center"/>
      <protection locked="0"/>
    </xf>
    <xf numFmtId="181" fontId="2" fillId="0" borderId="2" xfId="2" applyNumberFormat="1" applyFont="1" applyBorder="1" applyAlignment="1" applyProtection="1">
      <alignment vertical="center"/>
      <protection locked="0"/>
    </xf>
    <xf numFmtId="181" fontId="2" fillId="0" borderId="3" xfId="2" applyNumberFormat="1" applyFont="1" applyBorder="1" applyAlignment="1" applyProtection="1">
      <alignment vertical="center"/>
      <protection locked="0"/>
    </xf>
    <xf numFmtId="181" fontId="2" fillId="0" borderId="4" xfId="2" applyNumberFormat="1" applyFont="1" applyBorder="1" applyAlignment="1" applyProtection="1">
      <alignment vertical="center"/>
      <protection locked="0"/>
    </xf>
    <xf numFmtId="177" fontId="2" fillId="0" borderId="2" xfId="2" applyNumberFormat="1" applyFont="1" applyBorder="1" applyAlignment="1" applyProtection="1">
      <alignment vertical="center"/>
      <protection locked="0"/>
    </xf>
    <xf numFmtId="177" fontId="2" fillId="0" borderId="3" xfId="2" applyNumberFormat="1" applyFont="1" applyBorder="1" applyAlignment="1" applyProtection="1">
      <alignment vertical="center"/>
      <protection locked="0"/>
    </xf>
    <xf numFmtId="177" fontId="2" fillId="0" borderId="23" xfId="2" applyNumberFormat="1" applyFont="1" applyBorder="1" applyAlignment="1" applyProtection="1">
      <alignment vertical="center"/>
      <protection locked="0"/>
    </xf>
    <xf numFmtId="177" fontId="2" fillId="0" borderId="22" xfId="2" applyNumberFormat="1" applyFont="1" applyBorder="1" applyAlignment="1" applyProtection="1">
      <alignment horizontal="right" vertical="center" shrinkToFit="1"/>
      <protection locked="0"/>
    </xf>
    <xf numFmtId="177" fontId="2" fillId="0" borderId="3" xfId="2" applyNumberFormat="1" applyFont="1" applyBorder="1" applyAlignment="1" applyProtection="1">
      <alignment horizontal="right" vertical="center" shrinkToFit="1"/>
      <protection locked="0"/>
    </xf>
    <xf numFmtId="177" fontId="2" fillId="0" borderId="4" xfId="2" applyNumberFormat="1" applyFont="1" applyBorder="1" applyAlignment="1" applyProtection="1">
      <alignment horizontal="right" vertical="center" shrinkToFit="1"/>
      <protection locked="0"/>
    </xf>
    <xf numFmtId="38" fontId="2" fillId="0" borderId="2" xfId="3" applyFont="1" applyFill="1" applyBorder="1" applyAlignment="1" applyProtection="1">
      <alignment horizontal="center" vertical="center"/>
      <protection locked="0"/>
    </xf>
    <xf numFmtId="38" fontId="2" fillId="0" borderId="3" xfId="3" applyFont="1" applyFill="1" applyBorder="1" applyAlignment="1" applyProtection="1">
      <alignment horizontal="center" vertical="center"/>
      <protection locked="0"/>
    </xf>
    <xf numFmtId="38" fontId="2" fillId="0" borderId="4" xfId="3" applyFont="1" applyFill="1" applyBorder="1" applyAlignment="1" applyProtection="1">
      <alignment horizontal="center" vertical="center"/>
      <protection locked="0"/>
    </xf>
    <xf numFmtId="181" fontId="2" fillId="0" borderId="2" xfId="2" applyNumberFormat="1" applyFont="1" applyBorder="1" applyAlignment="1" applyProtection="1">
      <alignment horizontal="right" vertical="center"/>
      <protection locked="0"/>
    </xf>
    <xf numFmtId="181" fontId="2" fillId="0" borderId="3" xfId="2" applyNumberFormat="1" applyFont="1" applyBorder="1" applyAlignment="1" applyProtection="1">
      <alignment horizontal="right" vertical="center"/>
      <protection locked="0"/>
    </xf>
    <xf numFmtId="181" fontId="2" fillId="0" borderId="4" xfId="2" applyNumberFormat="1" applyFont="1" applyBorder="1" applyAlignment="1" applyProtection="1">
      <alignment horizontal="right" vertical="center"/>
      <protection locked="0"/>
    </xf>
    <xf numFmtId="0" fontId="11" fillId="4" borderId="24" xfId="2" applyFont="1" applyFill="1" applyBorder="1" applyAlignment="1" applyProtection="1">
      <alignment horizontal="distributed" vertical="center" indent="4"/>
      <protection locked="0"/>
    </xf>
    <xf numFmtId="0" fontId="11" fillId="4" borderId="25" xfId="2" applyFont="1" applyFill="1" applyBorder="1" applyAlignment="1" applyProtection="1">
      <alignment horizontal="distributed" vertical="center" indent="4"/>
      <protection locked="0"/>
    </xf>
    <xf numFmtId="0" fontId="11" fillId="4" borderId="26" xfId="2" applyFont="1" applyFill="1" applyBorder="1" applyAlignment="1" applyProtection="1">
      <alignment horizontal="distributed" vertical="center" indent="4"/>
      <protection locked="0"/>
    </xf>
    <xf numFmtId="0" fontId="11" fillId="4" borderId="29" xfId="2" applyFont="1" applyFill="1" applyBorder="1" applyAlignment="1" applyProtection="1">
      <alignment horizontal="distributed" vertical="center" indent="4"/>
      <protection locked="0"/>
    </xf>
    <xf numFmtId="0" fontId="11" fillId="4" borderId="10" xfId="2" applyFont="1" applyFill="1" applyBorder="1" applyAlignment="1" applyProtection="1">
      <alignment horizontal="distributed" vertical="center" indent="4"/>
      <protection locked="0"/>
    </xf>
    <xf numFmtId="0" fontId="11" fillId="4" borderId="11" xfId="2" applyFont="1" applyFill="1" applyBorder="1" applyAlignment="1" applyProtection="1">
      <alignment horizontal="distributed" vertical="center" indent="4"/>
      <protection locked="0"/>
    </xf>
    <xf numFmtId="0" fontId="11" fillId="4" borderId="27" xfId="2" applyFont="1" applyFill="1" applyBorder="1" applyAlignment="1" applyProtection="1">
      <alignment horizontal="center" vertical="center"/>
      <protection locked="0"/>
    </xf>
    <xf numFmtId="0" fontId="11" fillId="4" borderId="25" xfId="2" applyFont="1" applyFill="1" applyBorder="1" applyAlignment="1" applyProtection="1">
      <alignment horizontal="center" vertical="center"/>
      <protection locked="0"/>
    </xf>
    <xf numFmtId="0" fontId="11" fillId="4" borderId="26" xfId="2" applyFont="1" applyFill="1" applyBorder="1" applyAlignment="1" applyProtection="1">
      <alignment horizontal="center" vertical="center"/>
      <protection locked="0"/>
    </xf>
    <xf numFmtId="0" fontId="11" fillId="4" borderId="9" xfId="2" applyFont="1" applyFill="1" applyBorder="1" applyAlignment="1" applyProtection="1">
      <alignment horizontal="center" vertical="center"/>
      <protection locked="0"/>
    </xf>
    <xf numFmtId="0" fontId="11" fillId="4" borderId="10" xfId="2" applyFont="1" applyFill="1" applyBorder="1" applyAlignment="1" applyProtection="1">
      <alignment horizontal="center" vertical="center"/>
      <protection locked="0"/>
    </xf>
    <xf numFmtId="0" fontId="11" fillId="4" borderId="11" xfId="2" applyFont="1" applyFill="1" applyBorder="1" applyAlignment="1" applyProtection="1">
      <alignment horizontal="center" vertical="center"/>
      <protection locked="0"/>
    </xf>
    <xf numFmtId="0" fontId="11" fillId="4" borderId="27" xfId="2" applyFont="1" applyFill="1" applyBorder="1" applyAlignment="1" applyProtection="1">
      <alignment horizontal="distributed" vertical="center" indent="1"/>
      <protection locked="0"/>
    </xf>
    <xf numFmtId="0" fontId="11" fillId="4" borderId="25" xfId="2" applyFont="1" applyFill="1" applyBorder="1" applyAlignment="1" applyProtection="1">
      <alignment horizontal="distributed" vertical="center" indent="1"/>
      <protection locked="0"/>
    </xf>
    <xf numFmtId="0" fontId="11" fillId="4" borderId="26" xfId="2" applyFont="1" applyFill="1" applyBorder="1" applyAlignment="1" applyProtection="1">
      <alignment horizontal="distributed" vertical="center" indent="1"/>
      <protection locked="0"/>
    </xf>
    <xf numFmtId="0" fontId="11" fillId="4" borderId="9" xfId="2" applyFont="1" applyFill="1" applyBorder="1" applyAlignment="1" applyProtection="1">
      <alignment horizontal="distributed" vertical="center" indent="1"/>
      <protection locked="0"/>
    </xf>
    <xf numFmtId="0" fontId="11" fillId="4" borderId="10" xfId="2" applyFont="1" applyFill="1" applyBorder="1" applyAlignment="1" applyProtection="1">
      <alignment horizontal="distributed" vertical="center" indent="1"/>
      <protection locked="0"/>
    </xf>
    <xf numFmtId="0" fontId="11" fillId="4" borderId="11" xfId="2" applyFont="1" applyFill="1" applyBorder="1" applyAlignment="1" applyProtection="1">
      <alignment horizontal="distributed" vertical="center" indent="1"/>
      <protection locked="0"/>
    </xf>
    <xf numFmtId="0" fontId="11" fillId="4" borderId="27" xfId="2" applyFont="1" applyFill="1" applyBorder="1" applyAlignment="1" applyProtection="1">
      <alignment horizontal="distributed" vertical="center" indent="3"/>
      <protection locked="0"/>
    </xf>
    <xf numFmtId="0" fontId="11" fillId="4" borderId="25" xfId="2" applyFont="1" applyFill="1" applyBorder="1" applyAlignment="1" applyProtection="1">
      <alignment horizontal="distributed" vertical="center" indent="3"/>
      <protection locked="0"/>
    </xf>
    <xf numFmtId="0" fontId="11" fillId="4" borderId="28" xfId="2" applyFont="1" applyFill="1" applyBorder="1" applyAlignment="1" applyProtection="1">
      <alignment horizontal="distributed" vertical="center" indent="3"/>
      <protection locked="0"/>
    </xf>
    <xf numFmtId="0" fontId="11" fillId="4" borderId="9" xfId="2" applyFont="1" applyFill="1" applyBorder="1" applyAlignment="1" applyProtection="1">
      <alignment horizontal="distributed" vertical="center" indent="3"/>
      <protection locked="0"/>
    </xf>
    <xf numFmtId="0" fontId="11" fillId="4" borderId="10" xfId="2" applyFont="1" applyFill="1" applyBorder="1" applyAlignment="1" applyProtection="1">
      <alignment horizontal="distributed" vertical="center" indent="3"/>
      <protection locked="0"/>
    </xf>
    <xf numFmtId="0" fontId="11" fillId="4" borderId="30" xfId="2" applyFont="1" applyFill="1" applyBorder="1" applyAlignment="1" applyProtection="1">
      <alignment horizontal="distributed" vertical="center" indent="3"/>
      <protection locked="0"/>
    </xf>
    <xf numFmtId="177" fontId="2" fillId="0" borderId="18" xfId="2" applyNumberFormat="1" applyFont="1" applyBorder="1" applyAlignment="1" applyProtection="1">
      <alignment horizontal="left" vertical="center" shrinkToFit="1"/>
      <protection locked="0"/>
    </xf>
    <xf numFmtId="177" fontId="2" fillId="0" borderId="12" xfId="2" applyNumberFormat="1" applyFont="1" applyBorder="1" applyAlignment="1" applyProtection="1">
      <alignment horizontal="left" vertical="center" shrinkToFit="1"/>
      <protection locked="0"/>
    </xf>
    <xf numFmtId="177" fontId="2" fillId="0" borderId="19" xfId="2" applyNumberFormat="1" applyFont="1" applyBorder="1" applyAlignment="1" applyProtection="1">
      <alignment horizontal="left" vertical="center" shrinkToFit="1"/>
      <protection locked="0"/>
    </xf>
    <xf numFmtId="177" fontId="2" fillId="0" borderId="20" xfId="2" applyNumberFormat="1" applyFont="1" applyBorder="1" applyAlignment="1" applyProtection="1">
      <alignment horizontal="left" vertical="center" shrinkToFit="1"/>
      <protection locked="0"/>
    </xf>
    <xf numFmtId="179" fontId="2" fillId="0" borderId="20" xfId="3" applyNumberFormat="1" applyFont="1" applyFill="1" applyBorder="1" applyAlignment="1" applyProtection="1">
      <alignment vertical="center"/>
      <protection locked="0"/>
    </xf>
    <xf numFmtId="179" fontId="2" fillId="0" borderId="12" xfId="3" applyNumberFormat="1" applyFont="1" applyFill="1" applyBorder="1" applyAlignment="1" applyProtection="1">
      <alignment vertical="center"/>
      <protection locked="0"/>
    </xf>
    <xf numFmtId="179" fontId="2" fillId="0" borderId="21" xfId="3" applyNumberFormat="1" applyFont="1" applyFill="1" applyBorder="1" applyAlignment="1" applyProtection="1">
      <alignment vertical="center"/>
      <protection locked="0"/>
    </xf>
    <xf numFmtId="177" fontId="2" fillId="0" borderId="2" xfId="2" applyNumberFormat="1" applyFont="1" applyBorder="1" applyAlignment="1" applyProtection="1">
      <alignment horizontal="left" vertical="center" shrinkToFit="1"/>
      <protection locked="0"/>
    </xf>
    <xf numFmtId="179" fontId="2" fillId="0" borderId="2" xfId="3" applyNumberFormat="1" applyFont="1" applyFill="1" applyBorder="1" applyAlignment="1" applyProtection="1">
      <alignment vertical="center"/>
      <protection locked="0"/>
    </xf>
    <xf numFmtId="179" fontId="2" fillId="0" borderId="3" xfId="3" applyNumberFormat="1" applyFont="1" applyFill="1" applyBorder="1" applyAlignment="1" applyProtection="1">
      <alignment vertical="center"/>
      <protection locked="0"/>
    </xf>
    <xf numFmtId="179" fontId="2" fillId="0" borderId="23" xfId="3" applyNumberFormat="1" applyFont="1" applyFill="1" applyBorder="1" applyAlignment="1" applyProtection="1">
      <alignment vertical="center"/>
      <protection locked="0"/>
    </xf>
    <xf numFmtId="0" fontId="11" fillId="4" borderId="15" xfId="2" applyFont="1" applyFill="1" applyBorder="1" applyAlignment="1" applyProtection="1">
      <alignment horizontal="distributed" vertical="center" indent="1"/>
      <protection locked="0"/>
    </xf>
    <xf numFmtId="0" fontId="11" fillId="4" borderId="14" xfId="2" applyFont="1" applyFill="1" applyBorder="1" applyAlignment="1" applyProtection="1">
      <alignment horizontal="distributed" vertical="center" indent="1"/>
      <protection locked="0"/>
    </xf>
    <xf numFmtId="0" fontId="11" fillId="4" borderId="16" xfId="2" applyFont="1" applyFill="1" applyBorder="1" applyAlignment="1" applyProtection="1">
      <alignment horizontal="distributed" vertical="center" indent="1"/>
      <protection locked="0"/>
    </xf>
    <xf numFmtId="179" fontId="2" fillId="0" borderId="2" xfId="2" applyNumberFormat="1" applyFont="1" applyBorder="1" applyAlignment="1" applyProtection="1">
      <alignment vertical="center"/>
      <protection locked="0"/>
    </xf>
    <xf numFmtId="179" fontId="2" fillId="0" borderId="3" xfId="2" applyNumberFormat="1" applyFont="1" applyBorder="1" applyAlignment="1" applyProtection="1">
      <alignment vertical="center"/>
      <protection locked="0"/>
    </xf>
    <xf numFmtId="179" fontId="2" fillId="0" borderId="23" xfId="2" applyNumberFormat="1" applyFont="1" applyBorder="1" applyAlignment="1" applyProtection="1">
      <alignment vertical="center"/>
      <protection locked="0"/>
    </xf>
    <xf numFmtId="0" fontId="11" fillId="4" borderId="18" xfId="2" applyFont="1" applyFill="1" applyBorder="1" applyAlignment="1" applyProtection="1">
      <alignment horizontal="distributed" vertical="center" indent="1"/>
      <protection locked="0"/>
    </xf>
    <xf numFmtId="0" fontId="11" fillId="4" borderId="12" xfId="2" applyFont="1" applyFill="1" applyBorder="1" applyAlignment="1" applyProtection="1">
      <alignment horizontal="distributed" vertical="center" indent="1"/>
      <protection locked="0"/>
    </xf>
    <xf numFmtId="0" fontId="11" fillId="4" borderId="19" xfId="2" applyFont="1" applyFill="1" applyBorder="1" applyAlignment="1" applyProtection="1">
      <alignment horizontal="distributed" vertical="center" indent="1"/>
      <protection locked="0"/>
    </xf>
    <xf numFmtId="177" fontId="2" fillId="0" borderId="20" xfId="2" applyNumberFormat="1" applyFont="1" applyBorder="1" applyAlignment="1" applyProtection="1">
      <alignment vertical="center" shrinkToFit="1"/>
      <protection locked="0"/>
    </xf>
    <xf numFmtId="177" fontId="2" fillId="0" borderId="12" xfId="2" applyNumberFormat="1" applyFont="1" applyBorder="1" applyAlignment="1" applyProtection="1">
      <alignment vertical="center" shrinkToFit="1"/>
      <protection locked="0"/>
    </xf>
    <xf numFmtId="177" fontId="2" fillId="0" borderId="21" xfId="2" applyNumberFormat="1" applyFont="1" applyBorder="1" applyAlignment="1" applyProtection="1">
      <alignment vertical="center" shrinkToFit="1"/>
      <protection locked="0"/>
    </xf>
    <xf numFmtId="0" fontId="11" fillId="4" borderId="13" xfId="2" applyFont="1" applyFill="1" applyBorder="1" applyAlignment="1" applyProtection="1">
      <alignment horizontal="distributed" vertical="center" indent="3"/>
      <protection locked="0"/>
    </xf>
    <xf numFmtId="0" fontId="11" fillId="4" borderId="14" xfId="2" applyFont="1" applyFill="1" applyBorder="1" applyAlignment="1" applyProtection="1">
      <alignment horizontal="distributed" vertical="center" indent="3"/>
      <protection locked="0"/>
    </xf>
    <xf numFmtId="0" fontId="11" fillId="4" borderId="17" xfId="2" applyFont="1" applyFill="1" applyBorder="1" applyAlignment="1" applyProtection="1">
      <alignment horizontal="distributed" vertical="center" indent="3"/>
      <protection locked="0"/>
    </xf>
    <xf numFmtId="0" fontId="11" fillId="4" borderId="17" xfId="2" applyFont="1" applyFill="1" applyBorder="1" applyAlignment="1" applyProtection="1">
      <alignment horizontal="distributed" vertical="center" indent="1"/>
      <protection locked="0"/>
    </xf>
    <xf numFmtId="176" fontId="16" fillId="0" borderId="8" xfId="2" applyNumberFormat="1" applyFont="1" applyBorder="1" applyAlignment="1" applyProtection="1">
      <alignment vertical="center"/>
      <protection locked="0"/>
    </xf>
    <xf numFmtId="176" fontId="17" fillId="0" borderId="8" xfId="2" applyNumberFormat="1" applyFont="1" applyBorder="1" applyAlignment="1" applyProtection="1">
      <alignment horizontal="center" vertical="center"/>
      <protection locked="0"/>
    </xf>
    <xf numFmtId="0" fontId="8" fillId="0" borderId="0" xfId="2" applyFont="1" applyAlignment="1" applyProtection="1">
      <alignment horizontal="center" vertical="center" shrinkToFit="1"/>
      <protection locked="0"/>
    </xf>
    <xf numFmtId="0" fontId="8" fillId="0" borderId="1" xfId="2" applyFont="1" applyBorder="1" applyAlignment="1" applyProtection="1">
      <alignment horizontal="center" vertical="center" shrinkToFit="1"/>
      <protection locked="0"/>
    </xf>
    <xf numFmtId="0" fontId="8" fillId="0" borderId="8" xfId="2" applyFont="1" applyBorder="1" applyAlignment="1" applyProtection="1">
      <alignment horizontal="center" vertical="center"/>
      <protection locked="0"/>
    </xf>
    <xf numFmtId="178" fontId="18" fillId="0" borderId="12" xfId="2" applyNumberFormat="1" applyFont="1" applyBorder="1" applyAlignment="1" applyProtection="1">
      <alignment horizontal="center" vertical="center" shrinkToFit="1"/>
      <protection locked="0"/>
    </xf>
    <xf numFmtId="0" fontId="11" fillId="4" borderId="13" xfId="2" applyFont="1" applyFill="1" applyBorder="1" applyAlignment="1" applyProtection="1">
      <alignment horizontal="distributed" vertical="center" indent="1"/>
      <protection locked="0"/>
    </xf>
    <xf numFmtId="177" fontId="2" fillId="0" borderId="15" xfId="2" applyNumberFormat="1" applyFont="1" applyBorder="1" applyAlignment="1" applyProtection="1">
      <alignment vertical="center" shrinkToFit="1"/>
      <protection locked="0"/>
    </xf>
    <xf numFmtId="177" fontId="2" fillId="0" borderId="14" xfId="2" applyNumberFormat="1" applyFont="1" applyBorder="1" applyAlignment="1" applyProtection="1">
      <alignment vertical="center" shrinkToFit="1"/>
      <protection locked="0"/>
    </xf>
    <xf numFmtId="177" fontId="2" fillId="0" borderId="16" xfId="2" applyNumberFormat="1" applyFont="1" applyBorder="1" applyAlignment="1" applyProtection="1">
      <alignment vertical="center" shrinkToFit="1"/>
      <protection locked="0"/>
    </xf>
    <xf numFmtId="178" fontId="11" fillId="0" borderId="15" xfId="2" applyNumberFormat="1" applyFont="1" applyBorder="1" applyAlignment="1" applyProtection="1">
      <alignment horizontal="left" vertical="center" shrinkToFit="1"/>
      <protection locked="0"/>
    </xf>
    <xf numFmtId="178" fontId="11" fillId="0" borderId="14" xfId="2" applyNumberFormat="1" applyFont="1" applyBorder="1" applyAlignment="1" applyProtection="1">
      <alignment horizontal="left" vertical="center" shrinkToFit="1"/>
      <protection locked="0"/>
    </xf>
    <xf numFmtId="178" fontId="11" fillId="0" borderId="16" xfId="2" applyNumberFormat="1" applyFont="1" applyBorder="1" applyAlignment="1" applyProtection="1">
      <alignment horizontal="left" vertical="center" shrinkToFit="1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14" fontId="2" fillId="0" borderId="0" xfId="2" applyNumberFormat="1" applyFont="1" applyAlignment="1" applyProtection="1">
      <alignment horizontal="right" vertical="center"/>
      <protection locked="0"/>
    </xf>
    <xf numFmtId="0" fontId="10" fillId="0" borderId="0" xfId="2" applyFont="1" applyAlignment="1" applyProtection="1">
      <alignment horizontal="center" vertical="center"/>
      <protection locked="0"/>
    </xf>
    <xf numFmtId="0" fontId="10" fillId="0" borderId="1" xfId="2" applyFont="1" applyBorder="1" applyAlignment="1" applyProtection="1">
      <alignment horizontal="center" vertical="center"/>
      <protection locked="0"/>
    </xf>
    <xf numFmtId="0" fontId="11" fillId="4" borderId="2" xfId="2" applyFont="1" applyFill="1" applyBorder="1" applyAlignment="1" applyProtection="1">
      <alignment horizontal="center" vertical="center"/>
      <protection locked="0"/>
    </xf>
    <xf numFmtId="0" fontId="11" fillId="4" borderId="3" xfId="2" applyFont="1" applyFill="1" applyBorder="1" applyAlignment="1" applyProtection="1">
      <alignment horizontal="center" vertical="center"/>
      <protection locked="0"/>
    </xf>
    <xf numFmtId="0" fontId="11" fillId="4" borderId="4" xfId="2" applyFont="1" applyFill="1" applyBorder="1" applyAlignment="1" applyProtection="1">
      <alignment horizontal="center" vertical="center"/>
      <protection locked="0"/>
    </xf>
    <xf numFmtId="0" fontId="7" fillId="0" borderId="0" xfId="2" applyFont="1" applyAlignment="1" applyProtection="1">
      <alignment horizontal="center" vertical="center"/>
      <protection locked="0"/>
    </xf>
    <xf numFmtId="176" fontId="13" fillId="0" borderId="0" xfId="2" applyNumberFormat="1" applyFont="1" applyAlignment="1" applyProtection="1">
      <alignment horizontal="center" vertical="center"/>
      <protection locked="0"/>
    </xf>
    <xf numFmtId="0" fontId="15" fillId="0" borderId="5" xfId="2" applyFont="1" applyBorder="1" applyAlignment="1" applyProtection="1">
      <alignment horizontal="center" vertical="center"/>
      <protection locked="0"/>
    </xf>
    <xf numFmtId="0" fontId="15" fillId="0" borderId="6" xfId="2" applyFont="1" applyBorder="1" applyAlignment="1" applyProtection="1">
      <alignment horizontal="center" vertical="center"/>
      <protection locked="0"/>
    </xf>
    <xf numFmtId="0" fontId="15" fillId="0" borderId="7" xfId="2" applyFont="1" applyBorder="1" applyAlignment="1" applyProtection="1">
      <alignment horizontal="center" vertical="center"/>
      <protection locked="0"/>
    </xf>
    <xf numFmtId="0" fontId="15" fillId="0" borderId="9" xfId="2" applyFont="1" applyBorder="1" applyAlignment="1" applyProtection="1">
      <alignment horizontal="center" vertical="center"/>
      <protection locked="0"/>
    </xf>
    <xf numFmtId="0" fontId="15" fillId="0" borderId="10" xfId="2" applyFont="1" applyBorder="1" applyAlignment="1" applyProtection="1">
      <alignment horizontal="center" vertical="center"/>
      <protection locked="0"/>
    </xf>
    <xf numFmtId="0" fontId="15" fillId="0" borderId="11" xfId="2" applyFont="1" applyBorder="1" applyAlignment="1" applyProtection="1">
      <alignment horizontal="center" vertical="center"/>
      <protection locked="0"/>
    </xf>
    <xf numFmtId="0" fontId="7" fillId="0" borderId="8" xfId="2" applyFont="1" applyBorder="1" applyAlignment="1" applyProtection="1">
      <alignment horizontal="center" vertical="center"/>
      <protection locked="0"/>
    </xf>
  </cellXfs>
  <cellStyles count="4">
    <cellStyle name="桁区切り" xfId="1" builtinId="6"/>
    <cellStyle name="桁区切り 3" xfId="3" xr:uid="{A6749C58-2625-4506-A8F3-BEAA6EF8300C}"/>
    <cellStyle name="標準" xfId="0" builtinId="0"/>
    <cellStyle name="標準 4" xfId="2" xr:uid="{B6F8A862-03A1-4C94-B216-CEC1EB14B6BE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102697</xdr:colOff>
      <xdr:row>1</xdr:row>
      <xdr:rowOff>44450</xdr:rowOff>
    </xdr:from>
    <xdr:to>
      <xdr:col>38</xdr:col>
      <xdr:colOff>0</xdr:colOff>
      <xdr:row>3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99D77EE-E385-4FDC-87F7-ABBD5528F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577" y="623570"/>
          <a:ext cx="2091863" cy="365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K070581\Desktop\&#35211;&#31309;&#26360;&#33258;&#21205;&#20316;&#25104;&#12484;&#12540;&#12523;(v6.20).xlsm" TargetMode="External"/><Relationship Id="rId1" Type="http://schemas.openxmlformats.org/officeDocument/2006/relationships/externalLinkPath" Target="&#35211;&#31309;&#26360;&#33258;&#21205;&#20316;&#25104;&#12484;&#12540;&#12523;(v6.20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基本設定"/>
      <sheetName val="工程表"/>
      <sheetName val="見積書"/>
      <sheetName val="材料DB"/>
      <sheetName val="工程DB"/>
      <sheetName val="材料リスト"/>
      <sheetName val="仕様リスト"/>
      <sheetName val="保護塗料"/>
      <sheetName val="設計価格"/>
      <sheetName val="リスト"/>
      <sheetName val="(SARD)アンカーディスク計算"/>
      <sheetName val="各種使用量算出根拠"/>
      <sheetName val="注意が必要な仕様"/>
      <sheetName val="特価申請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6FC2-DA44-4D92-9BEC-F0AA9A695A72}">
  <sheetPr codeName="Sheet6">
    <tabColor rgb="FF99CCFF"/>
    <pageSetUpPr fitToPage="1"/>
  </sheetPr>
  <dimension ref="A1:AL48"/>
  <sheetViews>
    <sheetView showGridLines="0" tabSelected="1" zoomScaleNormal="100" zoomScaleSheetLayoutView="100" workbookViewId="0">
      <selection activeCell="Q36" sqref="Q36:T36"/>
    </sheetView>
  </sheetViews>
  <sheetFormatPr defaultColWidth="2.6640625" defaultRowHeight="18" customHeight="1"/>
  <cols>
    <col min="1" max="1" width="2.6640625" style="1" customWidth="1"/>
    <col min="2" max="7" width="2.6640625" style="1"/>
    <col min="8" max="8" width="2.6640625" style="1" customWidth="1"/>
    <col min="9" max="16" width="2.6640625" style="1"/>
    <col min="17" max="17" width="2.6640625" style="1" customWidth="1"/>
    <col min="18" max="19" width="2.6640625" style="1"/>
    <col min="20" max="20" width="2.6640625" style="1" customWidth="1"/>
    <col min="21" max="16384" width="2.6640625" style="1"/>
  </cols>
  <sheetData>
    <row r="1" spans="1:38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50" t="s">
        <v>0</v>
      </c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3"/>
      <c r="AA1" s="3"/>
      <c r="AB1" s="3"/>
      <c r="AC1" s="3"/>
      <c r="AD1" s="3"/>
      <c r="AE1" s="151">
        <f ca="1">TODAY()</f>
        <v>46155</v>
      </c>
      <c r="AF1" s="151"/>
      <c r="AG1" s="151"/>
      <c r="AH1" s="151"/>
      <c r="AI1" s="151"/>
      <c r="AJ1" s="151"/>
      <c r="AK1" s="151"/>
      <c r="AL1" s="151"/>
    </row>
    <row r="2" spans="1:38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4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4"/>
      <c r="AA2" s="4"/>
      <c r="AB2" s="4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6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4"/>
      <c r="V4" s="4"/>
      <c r="W4" s="4"/>
      <c r="X4" s="4"/>
      <c r="Y4" s="4"/>
      <c r="Z4" s="4"/>
      <c r="AA4" s="4"/>
      <c r="AB4" s="4"/>
      <c r="AC4" s="3"/>
      <c r="AD4" s="3"/>
      <c r="AE4" s="4"/>
      <c r="AF4" s="4"/>
      <c r="AG4" s="4"/>
      <c r="AH4" s="4"/>
      <c r="AI4" s="4"/>
      <c r="AJ4" s="3"/>
      <c r="AK4" s="3"/>
      <c r="AL4" s="3"/>
    </row>
    <row r="5" spans="1:38" ht="1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3"/>
      <c r="AE5" s="154" t="s">
        <v>1</v>
      </c>
      <c r="AF5" s="155"/>
      <c r="AG5" s="155"/>
      <c r="AH5" s="156"/>
      <c r="AI5" s="154" t="s">
        <v>2</v>
      </c>
      <c r="AJ5" s="155"/>
      <c r="AK5" s="155"/>
      <c r="AL5" s="156"/>
    </row>
    <row r="6" spans="1:38" ht="15" customHeight="1">
      <c r="A6" s="157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8"/>
      <c r="N6" s="158"/>
      <c r="O6" s="158"/>
      <c r="P6" s="158"/>
      <c r="Q6" s="158"/>
      <c r="R6" s="158"/>
      <c r="S6" s="158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7"/>
      <c r="AF6" s="8"/>
      <c r="AG6" s="8"/>
      <c r="AH6" s="9"/>
      <c r="AI6" s="159"/>
      <c r="AJ6" s="160"/>
      <c r="AK6" s="160"/>
      <c r="AL6" s="161"/>
    </row>
    <row r="7" spans="1:38" ht="28.5" customHeight="1" thickBot="1">
      <c r="A7" s="165" t="s">
        <v>3</v>
      </c>
      <c r="B7" s="165"/>
      <c r="C7" s="165"/>
      <c r="D7" s="165"/>
      <c r="E7" s="165"/>
      <c r="F7" s="165"/>
      <c r="G7" s="137">
        <f ca="1">Y48</f>
        <v>0</v>
      </c>
      <c r="H7" s="137"/>
      <c r="I7" s="137"/>
      <c r="J7" s="137"/>
      <c r="K7" s="137"/>
      <c r="L7" s="137"/>
      <c r="M7" s="137"/>
      <c r="N7" s="137"/>
      <c r="O7" s="137"/>
      <c r="P7" s="137"/>
      <c r="Q7" s="138" t="s">
        <v>4</v>
      </c>
      <c r="R7" s="138"/>
      <c r="S7" s="138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40"/>
      <c r="AE7" s="10"/>
      <c r="AF7" s="11"/>
      <c r="AG7" s="11"/>
      <c r="AH7" s="12"/>
      <c r="AI7" s="162"/>
      <c r="AJ7" s="163"/>
      <c r="AK7" s="163"/>
      <c r="AL7" s="164"/>
    </row>
    <row r="8" spans="1:38" ht="15" customHeight="1" thickBot="1">
      <c r="A8" s="3"/>
      <c r="B8" s="13"/>
      <c r="C8" s="13"/>
      <c r="D8" s="13"/>
      <c r="E8" s="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2"/>
      <c r="AF8" s="142"/>
      <c r="AG8" s="142"/>
      <c r="AH8" s="142"/>
      <c r="AI8" s="142"/>
      <c r="AJ8" s="142"/>
      <c r="AK8" s="142"/>
      <c r="AL8" s="142"/>
    </row>
    <row r="9" spans="1:38" ht="16.95" customHeight="1">
      <c r="A9" s="143" t="s">
        <v>5</v>
      </c>
      <c r="B9" s="122"/>
      <c r="C9" s="122"/>
      <c r="D9" s="122"/>
      <c r="E9" s="122"/>
      <c r="F9" s="144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6"/>
      <c r="T9" s="143" t="s">
        <v>6</v>
      </c>
      <c r="U9" s="122"/>
      <c r="V9" s="122"/>
      <c r="W9" s="122"/>
      <c r="X9" s="122"/>
      <c r="Y9" s="122"/>
      <c r="Z9" s="136"/>
      <c r="AA9" s="147">
        <v>46136</v>
      </c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9"/>
    </row>
    <row r="10" spans="1:38" ht="16.95" customHeight="1" thickBot="1">
      <c r="A10" s="127" t="s">
        <v>7</v>
      </c>
      <c r="B10" s="128"/>
      <c r="C10" s="128"/>
      <c r="D10" s="128"/>
      <c r="E10" s="129"/>
      <c r="F10" s="130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2"/>
      <c r="T10" s="127" t="s">
        <v>8</v>
      </c>
      <c r="U10" s="128"/>
      <c r="V10" s="128"/>
      <c r="W10" s="128"/>
      <c r="X10" s="128"/>
      <c r="Y10" s="128"/>
      <c r="Z10" s="129"/>
      <c r="AA10" s="130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2"/>
    </row>
    <row r="11" spans="1:38" s="15" customFormat="1" ht="16.95" customHeight="1">
      <c r="A11" s="133" t="s">
        <v>9</v>
      </c>
      <c r="B11" s="134"/>
      <c r="C11" s="134"/>
      <c r="D11" s="134"/>
      <c r="E11" s="134"/>
      <c r="F11" s="134"/>
      <c r="G11" s="134"/>
      <c r="H11" s="134"/>
      <c r="I11" s="135"/>
      <c r="J11" s="121" t="s">
        <v>10</v>
      </c>
      <c r="K11" s="122"/>
      <c r="L11" s="122"/>
      <c r="M11" s="122"/>
      <c r="N11" s="136"/>
      <c r="O11" s="121" t="s">
        <v>11</v>
      </c>
      <c r="P11" s="122"/>
      <c r="Q11" s="122"/>
      <c r="R11" s="122"/>
      <c r="S11" s="123"/>
      <c r="T11" s="133" t="s">
        <v>9</v>
      </c>
      <c r="U11" s="134"/>
      <c r="V11" s="134"/>
      <c r="W11" s="134"/>
      <c r="X11" s="134"/>
      <c r="Y11" s="134"/>
      <c r="Z11" s="134"/>
      <c r="AA11" s="134"/>
      <c r="AB11" s="135"/>
      <c r="AC11" s="121" t="s">
        <v>10</v>
      </c>
      <c r="AD11" s="122"/>
      <c r="AE11" s="122"/>
      <c r="AF11" s="122"/>
      <c r="AG11" s="136"/>
      <c r="AH11" s="121" t="s">
        <v>11</v>
      </c>
      <c r="AI11" s="122"/>
      <c r="AJ11" s="122"/>
      <c r="AK11" s="122"/>
      <c r="AL11" s="123"/>
    </row>
    <row r="12" spans="1:38" ht="16.95" customHeight="1">
      <c r="A12" s="62" t="s">
        <v>12</v>
      </c>
      <c r="B12" s="63"/>
      <c r="C12" s="63"/>
      <c r="D12" s="63"/>
      <c r="E12" s="63"/>
      <c r="F12" s="63"/>
      <c r="G12" s="63"/>
      <c r="H12" s="63"/>
      <c r="I12" s="64"/>
      <c r="J12" s="117" t="s">
        <v>13</v>
      </c>
      <c r="K12" s="63"/>
      <c r="L12" s="63"/>
      <c r="M12" s="63"/>
      <c r="N12" s="64"/>
      <c r="O12" s="124">
        <v>244</v>
      </c>
      <c r="P12" s="125"/>
      <c r="Q12" s="125"/>
      <c r="R12" s="125"/>
      <c r="S12" s="126"/>
      <c r="T12" s="62"/>
      <c r="U12" s="63"/>
      <c r="V12" s="63"/>
      <c r="W12" s="63"/>
      <c r="X12" s="63"/>
      <c r="Y12" s="63"/>
      <c r="Z12" s="63"/>
      <c r="AA12" s="63"/>
      <c r="AB12" s="64"/>
      <c r="AC12" s="117"/>
      <c r="AD12" s="63"/>
      <c r="AE12" s="63"/>
      <c r="AF12" s="63"/>
      <c r="AG12" s="64"/>
      <c r="AH12" s="124"/>
      <c r="AI12" s="125"/>
      <c r="AJ12" s="125"/>
      <c r="AK12" s="125"/>
      <c r="AL12" s="126"/>
    </row>
    <row r="13" spans="1:38" ht="16.95" customHeight="1">
      <c r="A13" s="62" t="s">
        <v>14</v>
      </c>
      <c r="B13" s="63"/>
      <c r="C13" s="63"/>
      <c r="D13" s="63"/>
      <c r="E13" s="63"/>
      <c r="F13" s="63"/>
      <c r="G13" s="63"/>
      <c r="H13" s="63"/>
      <c r="I13" s="64"/>
      <c r="J13" s="117" t="s">
        <v>15</v>
      </c>
      <c r="K13" s="63"/>
      <c r="L13" s="63"/>
      <c r="M13" s="63"/>
      <c r="N13" s="64"/>
      <c r="O13" s="118">
        <v>567</v>
      </c>
      <c r="P13" s="119"/>
      <c r="Q13" s="119"/>
      <c r="R13" s="119"/>
      <c r="S13" s="120"/>
      <c r="T13" s="62"/>
      <c r="U13" s="63"/>
      <c r="V13" s="63"/>
      <c r="W13" s="63"/>
      <c r="X13" s="63"/>
      <c r="Y13" s="63"/>
      <c r="Z13" s="63"/>
      <c r="AA13" s="63"/>
      <c r="AB13" s="64"/>
      <c r="AC13" s="117"/>
      <c r="AD13" s="63"/>
      <c r="AE13" s="63"/>
      <c r="AF13" s="63"/>
      <c r="AG13" s="64"/>
      <c r="AH13" s="118"/>
      <c r="AI13" s="119"/>
      <c r="AJ13" s="119"/>
      <c r="AK13" s="119"/>
      <c r="AL13" s="120"/>
    </row>
    <row r="14" spans="1:38" ht="16.95" customHeight="1">
      <c r="A14" s="62" t="s">
        <v>16</v>
      </c>
      <c r="B14" s="63"/>
      <c r="C14" s="63"/>
      <c r="D14" s="63"/>
      <c r="E14" s="63"/>
      <c r="F14" s="63"/>
      <c r="G14" s="63"/>
      <c r="H14" s="63"/>
      <c r="I14" s="64"/>
      <c r="J14" s="117" t="s">
        <v>15</v>
      </c>
      <c r="K14" s="63"/>
      <c r="L14" s="63"/>
      <c r="M14" s="63"/>
      <c r="N14" s="64"/>
      <c r="O14" s="118">
        <v>563</v>
      </c>
      <c r="P14" s="119"/>
      <c r="Q14" s="119"/>
      <c r="R14" s="119"/>
      <c r="S14" s="120"/>
      <c r="T14" s="62"/>
      <c r="U14" s="63"/>
      <c r="V14" s="63"/>
      <c r="W14" s="63"/>
      <c r="X14" s="63"/>
      <c r="Y14" s="63"/>
      <c r="Z14" s="63"/>
      <c r="AA14" s="63"/>
      <c r="AB14" s="64"/>
      <c r="AC14" s="117"/>
      <c r="AD14" s="63"/>
      <c r="AE14" s="63"/>
      <c r="AF14" s="63"/>
      <c r="AG14" s="64"/>
      <c r="AH14" s="118"/>
      <c r="AI14" s="119"/>
      <c r="AJ14" s="119"/>
      <c r="AK14" s="119"/>
      <c r="AL14" s="120"/>
    </row>
    <row r="15" spans="1:38" ht="16.95" customHeight="1">
      <c r="A15" s="62"/>
      <c r="B15" s="63"/>
      <c r="C15" s="63"/>
      <c r="D15" s="63"/>
      <c r="E15" s="63"/>
      <c r="F15" s="63"/>
      <c r="G15" s="63"/>
      <c r="H15" s="63"/>
      <c r="I15" s="64"/>
      <c r="J15" s="117"/>
      <c r="K15" s="63"/>
      <c r="L15" s="63"/>
      <c r="M15" s="63"/>
      <c r="N15" s="64"/>
      <c r="O15" s="118"/>
      <c r="P15" s="119"/>
      <c r="Q15" s="119"/>
      <c r="R15" s="119"/>
      <c r="S15" s="120"/>
      <c r="T15" s="62"/>
      <c r="U15" s="63"/>
      <c r="V15" s="63"/>
      <c r="W15" s="63"/>
      <c r="X15" s="63"/>
      <c r="Y15" s="63"/>
      <c r="Z15" s="63"/>
      <c r="AA15" s="63"/>
      <c r="AB15" s="64"/>
      <c r="AC15" s="117"/>
      <c r="AD15" s="63"/>
      <c r="AE15" s="63"/>
      <c r="AF15" s="63"/>
      <c r="AG15" s="64"/>
      <c r="AH15" s="118"/>
      <c r="AI15" s="119"/>
      <c r="AJ15" s="119"/>
      <c r="AK15" s="119"/>
      <c r="AL15" s="120"/>
    </row>
    <row r="16" spans="1:38" ht="16.95" customHeight="1">
      <c r="A16" s="62"/>
      <c r="B16" s="63"/>
      <c r="C16" s="63"/>
      <c r="D16" s="63"/>
      <c r="E16" s="63"/>
      <c r="F16" s="63"/>
      <c r="G16" s="63"/>
      <c r="H16" s="63"/>
      <c r="I16" s="64"/>
      <c r="J16" s="117"/>
      <c r="K16" s="63"/>
      <c r="L16" s="63"/>
      <c r="M16" s="63"/>
      <c r="N16" s="64"/>
      <c r="O16" s="118"/>
      <c r="P16" s="119"/>
      <c r="Q16" s="119"/>
      <c r="R16" s="119"/>
      <c r="S16" s="120"/>
      <c r="T16" s="62"/>
      <c r="U16" s="63"/>
      <c r="V16" s="63"/>
      <c r="W16" s="63"/>
      <c r="X16" s="63"/>
      <c r="Y16" s="63"/>
      <c r="Z16" s="63"/>
      <c r="AA16" s="63"/>
      <c r="AB16" s="64"/>
      <c r="AC16" s="117"/>
      <c r="AD16" s="63"/>
      <c r="AE16" s="63"/>
      <c r="AF16" s="63"/>
      <c r="AG16" s="64"/>
      <c r="AH16" s="118"/>
      <c r="AI16" s="119"/>
      <c r="AJ16" s="119"/>
      <c r="AK16" s="119"/>
      <c r="AL16" s="120"/>
    </row>
    <row r="17" spans="1:38" ht="16.95" customHeight="1" thickBot="1">
      <c r="A17" s="110"/>
      <c r="B17" s="111"/>
      <c r="C17" s="111"/>
      <c r="D17" s="111"/>
      <c r="E17" s="111"/>
      <c r="F17" s="111"/>
      <c r="G17" s="111"/>
      <c r="H17" s="111"/>
      <c r="I17" s="112"/>
      <c r="J17" s="113"/>
      <c r="K17" s="111"/>
      <c r="L17" s="111"/>
      <c r="M17" s="111"/>
      <c r="N17" s="112"/>
      <c r="O17" s="114"/>
      <c r="P17" s="115"/>
      <c r="Q17" s="115"/>
      <c r="R17" s="115"/>
      <c r="S17" s="116"/>
      <c r="T17" s="110"/>
      <c r="U17" s="111"/>
      <c r="V17" s="111"/>
      <c r="W17" s="111"/>
      <c r="X17" s="111"/>
      <c r="Y17" s="111"/>
      <c r="Z17" s="111"/>
      <c r="AA17" s="111"/>
      <c r="AB17" s="112"/>
      <c r="AC17" s="113"/>
      <c r="AD17" s="111"/>
      <c r="AE17" s="111"/>
      <c r="AF17" s="111"/>
      <c r="AG17" s="112"/>
      <c r="AH17" s="114"/>
      <c r="AI17" s="115"/>
      <c r="AJ17" s="115"/>
      <c r="AK17" s="115"/>
      <c r="AL17" s="116"/>
    </row>
    <row r="18" spans="1:38" ht="12.45" customHeight="1" thickBo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1.55" customHeight="1">
      <c r="A19" s="86" t="s">
        <v>17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8"/>
      <c r="M19" s="92" t="s">
        <v>18</v>
      </c>
      <c r="N19" s="93"/>
      <c r="O19" s="93"/>
      <c r="P19" s="94"/>
      <c r="Q19" s="92" t="s">
        <v>19</v>
      </c>
      <c r="R19" s="93"/>
      <c r="S19" s="93"/>
      <c r="T19" s="94"/>
      <c r="U19" s="92" t="s">
        <v>20</v>
      </c>
      <c r="V19" s="93"/>
      <c r="W19" s="93"/>
      <c r="X19" s="94"/>
      <c r="Y19" s="98" t="s">
        <v>21</v>
      </c>
      <c r="Z19" s="99"/>
      <c r="AA19" s="99"/>
      <c r="AB19" s="99"/>
      <c r="AC19" s="100"/>
      <c r="AD19" s="104" t="s">
        <v>22</v>
      </c>
      <c r="AE19" s="105"/>
      <c r="AF19" s="105"/>
      <c r="AG19" s="105"/>
      <c r="AH19" s="105"/>
      <c r="AI19" s="105"/>
      <c r="AJ19" s="105"/>
      <c r="AK19" s="105"/>
      <c r="AL19" s="106"/>
    </row>
    <row r="20" spans="1:38" ht="11.55" customHeight="1">
      <c r="A20" s="89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1"/>
      <c r="M20" s="95"/>
      <c r="N20" s="96"/>
      <c r="O20" s="96"/>
      <c r="P20" s="97"/>
      <c r="Q20" s="95"/>
      <c r="R20" s="96"/>
      <c r="S20" s="96"/>
      <c r="T20" s="97"/>
      <c r="U20" s="95"/>
      <c r="V20" s="96"/>
      <c r="W20" s="96"/>
      <c r="X20" s="97"/>
      <c r="Y20" s="101"/>
      <c r="Z20" s="102"/>
      <c r="AA20" s="102"/>
      <c r="AB20" s="102"/>
      <c r="AC20" s="103"/>
      <c r="AD20" s="107"/>
      <c r="AE20" s="108"/>
      <c r="AF20" s="108"/>
      <c r="AG20" s="108"/>
      <c r="AH20" s="108"/>
      <c r="AI20" s="108"/>
      <c r="AJ20" s="108"/>
      <c r="AK20" s="108"/>
      <c r="AL20" s="109"/>
    </row>
    <row r="21" spans="1:38" ht="16.95" customHeight="1">
      <c r="A21" s="62" t="s">
        <v>23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4"/>
      <c r="M21" s="65"/>
      <c r="N21" s="66"/>
      <c r="O21" s="66"/>
      <c r="P21" s="67"/>
      <c r="Q21" s="65"/>
      <c r="R21" s="66"/>
      <c r="S21" s="66"/>
      <c r="T21" s="67"/>
      <c r="U21" s="68"/>
      <c r="V21" s="69"/>
      <c r="W21" s="69"/>
      <c r="X21" s="70"/>
      <c r="Y21" s="71" t="str">
        <f t="shared" ref="Y21:Y33" si="0">IF(OR(M21="",U21=""),"",ROUND(M21*U21,0))</f>
        <v/>
      </c>
      <c r="Z21" s="72"/>
      <c r="AA21" s="72"/>
      <c r="AB21" s="72"/>
      <c r="AC21" s="73"/>
      <c r="AD21" s="74"/>
      <c r="AE21" s="75"/>
      <c r="AF21" s="75"/>
      <c r="AG21" s="75"/>
      <c r="AH21" s="75"/>
      <c r="AI21" s="75"/>
      <c r="AJ21" s="75"/>
      <c r="AK21" s="75"/>
      <c r="AL21" s="76"/>
    </row>
    <row r="22" spans="1:38" ht="16.95" customHeight="1">
      <c r="A22" s="62" t="s">
        <v>24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4"/>
      <c r="M22" s="65">
        <v>3</v>
      </c>
      <c r="N22" s="66"/>
      <c r="O22" s="66"/>
      <c r="P22" s="67"/>
      <c r="Q22" s="65" t="s">
        <v>25</v>
      </c>
      <c r="R22" s="66"/>
      <c r="S22" s="66"/>
      <c r="T22" s="67"/>
      <c r="U22" s="68"/>
      <c r="V22" s="69"/>
      <c r="W22" s="69"/>
      <c r="X22" s="70"/>
      <c r="Y22" s="71" t="str">
        <f t="shared" si="0"/>
        <v/>
      </c>
      <c r="Z22" s="72"/>
      <c r="AA22" s="72"/>
      <c r="AB22" s="72"/>
      <c r="AC22" s="73"/>
      <c r="AD22" s="74" t="s">
        <v>26</v>
      </c>
      <c r="AE22" s="75"/>
      <c r="AF22" s="75"/>
      <c r="AG22" s="75"/>
      <c r="AH22" s="75"/>
      <c r="AI22" s="75"/>
      <c r="AJ22" s="75"/>
      <c r="AK22" s="75"/>
      <c r="AL22" s="76"/>
    </row>
    <row r="23" spans="1:38" ht="16.95" customHeight="1">
      <c r="A23" s="62" t="s">
        <v>27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4"/>
      <c r="M23" s="65">
        <v>4</v>
      </c>
      <c r="N23" s="66"/>
      <c r="O23" s="66"/>
      <c r="P23" s="67"/>
      <c r="Q23" s="65" t="s">
        <v>25</v>
      </c>
      <c r="R23" s="66"/>
      <c r="S23" s="66"/>
      <c r="T23" s="67"/>
      <c r="U23" s="68"/>
      <c r="V23" s="69"/>
      <c r="W23" s="69"/>
      <c r="X23" s="70"/>
      <c r="Y23" s="71" t="str">
        <f t="shared" si="0"/>
        <v/>
      </c>
      <c r="Z23" s="72"/>
      <c r="AA23" s="72"/>
      <c r="AB23" s="72"/>
      <c r="AC23" s="73"/>
      <c r="AD23" s="74" t="s">
        <v>28</v>
      </c>
      <c r="AE23" s="75"/>
      <c r="AF23" s="75"/>
      <c r="AG23" s="75"/>
      <c r="AH23" s="75"/>
      <c r="AI23" s="75"/>
      <c r="AJ23" s="75"/>
      <c r="AK23" s="75"/>
      <c r="AL23" s="76"/>
    </row>
    <row r="24" spans="1:38" ht="16.95" customHeight="1">
      <c r="A24" s="62" t="s">
        <v>29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4"/>
      <c r="M24" s="65">
        <v>44</v>
      </c>
      <c r="N24" s="66"/>
      <c r="O24" s="66"/>
      <c r="P24" s="67"/>
      <c r="Q24" s="65" t="s">
        <v>30</v>
      </c>
      <c r="R24" s="66"/>
      <c r="S24" s="66"/>
      <c r="T24" s="67"/>
      <c r="U24" s="68"/>
      <c r="V24" s="69"/>
      <c r="W24" s="69"/>
      <c r="X24" s="70"/>
      <c r="Y24" s="71" t="str">
        <f t="shared" si="0"/>
        <v/>
      </c>
      <c r="Z24" s="72"/>
      <c r="AA24" s="72"/>
      <c r="AB24" s="72"/>
      <c r="AC24" s="73"/>
      <c r="AD24" s="74" t="s">
        <v>31</v>
      </c>
      <c r="AE24" s="75"/>
      <c r="AF24" s="75"/>
      <c r="AG24" s="75"/>
      <c r="AH24" s="75"/>
      <c r="AI24" s="75"/>
      <c r="AJ24" s="75"/>
      <c r="AK24" s="75"/>
      <c r="AL24" s="76"/>
    </row>
    <row r="25" spans="1:38" ht="16.95" customHeight="1">
      <c r="A25" s="62" t="s">
        <v>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4"/>
      <c r="M25" s="65">
        <v>1</v>
      </c>
      <c r="N25" s="66"/>
      <c r="O25" s="66"/>
      <c r="P25" s="67"/>
      <c r="Q25" s="65" t="s">
        <v>33</v>
      </c>
      <c r="R25" s="66"/>
      <c r="S25" s="66"/>
      <c r="T25" s="67"/>
      <c r="U25" s="68"/>
      <c r="V25" s="69"/>
      <c r="W25" s="69"/>
      <c r="X25" s="70"/>
      <c r="Y25" s="71" t="str">
        <f t="shared" si="0"/>
        <v/>
      </c>
      <c r="Z25" s="72"/>
      <c r="AA25" s="72"/>
      <c r="AB25" s="72"/>
      <c r="AC25" s="73"/>
      <c r="AD25" s="74" t="s">
        <v>34</v>
      </c>
      <c r="AE25" s="75"/>
      <c r="AF25" s="75"/>
      <c r="AG25" s="75"/>
      <c r="AH25" s="75"/>
      <c r="AI25" s="75"/>
      <c r="AJ25" s="75"/>
      <c r="AK25" s="75"/>
      <c r="AL25" s="76"/>
    </row>
    <row r="26" spans="1:38" ht="16.95" customHeight="1">
      <c r="A26" s="62" t="s">
        <v>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4"/>
      <c r="M26" s="65">
        <v>4</v>
      </c>
      <c r="N26" s="66"/>
      <c r="O26" s="66"/>
      <c r="P26" s="67"/>
      <c r="Q26" s="65" t="s">
        <v>36</v>
      </c>
      <c r="R26" s="66"/>
      <c r="S26" s="66"/>
      <c r="T26" s="67"/>
      <c r="U26" s="68"/>
      <c r="V26" s="69"/>
      <c r="W26" s="69"/>
      <c r="X26" s="70"/>
      <c r="Y26" s="71" t="str">
        <f t="shared" si="0"/>
        <v/>
      </c>
      <c r="Z26" s="72"/>
      <c r="AA26" s="72"/>
      <c r="AB26" s="72"/>
      <c r="AC26" s="73"/>
      <c r="AD26" s="74" t="s">
        <v>37</v>
      </c>
      <c r="AE26" s="75"/>
      <c r="AF26" s="75"/>
      <c r="AG26" s="75"/>
      <c r="AH26" s="75"/>
      <c r="AI26" s="75"/>
      <c r="AJ26" s="75"/>
      <c r="AK26" s="75"/>
      <c r="AL26" s="76"/>
    </row>
    <row r="27" spans="1:38" ht="16.95" customHeight="1">
      <c r="A27" s="62" t="s">
        <v>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4"/>
      <c r="M27" s="65">
        <v>55</v>
      </c>
      <c r="N27" s="66"/>
      <c r="O27" s="66"/>
      <c r="P27" s="67"/>
      <c r="Q27" s="65" t="s">
        <v>33</v>
      </c>
      <c r="R27" s="66"/>
      <c r="S27" s="66"/>
      <c r="T27" s="67"/>
      <c r="U27" s="68"/>
      <c r="V27" s="69"/>
      <c r="W27" s="69"/>
      <c r="X27" s="70"/>
      <c r="Y27" s="71" t="str">
        <f t="shared" si="0"/>
        <v/>
      </c>
      <c r="Z27" s="72"/>
      <c r="AA27" s="72"/>
      <c r="AB27" s="72"/>
      <c r="AC27" s="73"/>
      <c r="AD27" s="74" t="s">
        <v>39</v>
      </c>
      <c r="AE27" s="75"/>
      <c r="AF27" s="75"/>
      <c r="AG27" s="75"/>
      <c r="AH27" s="75"/>
      <c r="AI27" s="75"/>
      <c r="AJ27" s="75"/>
      <c r="AK27" s="75"/>
      <c r="AL27" s="76"/>
    </row>
    <row r="28" spans="1:38" ht="16.95" customHeight="1">
      <c r="A28" s="62" t="s">
        <v>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4"/>
      <c r="M28" s="65">
        <v>6</v>
      </c>
      <c r="N28" s="66"/>
      <c r="O28" s="66"/>
      <c r="P28" s="67"/>
      <c r="Q28" s="65" t="s">
        <v>25</v>
      </c>
      <c r="R28" s="66"/>
      <c r="S28" s="66"/>
      <c r="T28" s="67"/>
      <c r="U28" s="68"/>
      <c r="V28" s="69"/>
      <c r="W28" s="69"/>
      <c r="X28" s="70"/>
      <c r="Y28" s="71" t="str">
        <f t="shared" si="0"/>
        <v/>
      </c>
      <c r="Z28" s="72"/>
      <c r="AA28" s="72"/>
      <c r="AB28" s="72"/>
      <c r="AC28" s="73"/>
      <c r="AD28" s="74" t="s">
        <v>41</v>
      </c>
      <c r="AE28" s="75"/>
      <c r="AF28" s="75"/>
      <c r="AG28" s="75"/>
      <c r="AH28" s="75"/>
      <c r="AI28" s="75"/>
      <c r="AJ28" s="75"/>
      <c r="AK28" s="75"/>
      <c r="AL28" s="76"/>
    </row>
    <row r="29" spans="1:38" ht="16.95" customHeight="1">
      <c r="A29" s="62" t="s">
        <v>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4"/>
      <c r="M29" s="65">
        <v>6</v>
      </c>
      <c r="N29" s="66"/>
      <c r="O29" s="66"/>
      <c r="P29" s="67"/>
      <c r="Q29" s="65" t="s">
        <v>25</v>
      </c>
      <c r="R29" s="66"/>
      <c r="S29" s="66"/>
      <c r="T29" s="67"/>
      <c r="U29" s="68"/>
      <c r="V29" s="69"/>
      <c r="W29" s="69"/>
      <c r="X29" s="70"/>
      <c r="Y29" s="71" t="str">
        <f t="shared" si="0"/>
        <v/>
      </c>
      <c r="Z29" s="72"/>
      <c r="AA29" s="72"/>
      <c r="AB29" s="72"/>
      <c r="AC29" s="73"/>
      <c r="AD29" s="74" t="s">
        <v>43</v>
      </c>
      <c r="AE29" s="75"/>
      <c r="AF29" s="75"/>
      <c r="AG29" s="75"/>
      <c r="AH29" s="75"/>
      <c r="AI29" s="75"/>
      <c r="AJ29" s="75"/>
      <c r="AK29" s="75"/>
      <c r="AL29" s="76"/>
    </row>
    <row r="30" spans="1:38" ht="16.95" customHeight="1">
      <c r="A30" s="62" t="s">
        <v>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4"/>
      <c r="M30" s="65">
        <v>64</v>
      </c>
      <c r="N30" s="66"/>
      <c r="O30" s="66"/>
      <c r="P30" s="67"/>
      <c r="Q30" s="65" t="s">
        <v>30</v>
      </c>
      <c r="R30" s="66"/>
      <c r="S30" s="66"/>
      <c r="T30" s="67"/>
      <c r="U30" s="68"/>
      <c r="V30" s="69"/>
      <c r="W30" s="69"/>
      <c r="X30" s="70"/>
      <c r="Y30" s="71" t="str">
        <f t="shared" si="0"/>
        <v/>
      </c>
      <c r="Z30" s="72"/>
      <c r="AA30" s="72"/>
      <c r="AB30" s="72"/>
      <c r="AC30" s="73"/>
      <c r="AD30" s="74" t="s">
        <v>45</v>
      </c>
      <c r="AE30" s="75"/>
      <c r="AF30" s="75"/>
      <c r="AG30" s="75"/>
      <c r="AH30" s="75"/>
      <c r="AI30" s="75"/>
      <c r="AJ30" s="75"/>
      <c r="AK30" s="75"/>
      <c r="AL30" s="76"/>
    </row>
    <row r="31" spans="1:38" ht="16.95" customHeight="1">
      <c r="A31" s="62" t="s">
        <v>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4"/>
      <c r="M31" s="65">
        <v>3</v>
      </c>
      <c r="N31" s="66"/>
      <c r="O31" s="66"/>
      <c r="P31" s="67"/>
      <c r="Q31" s="65" t="s">
        <v>47</v>
      </c>
      <c r="R31" s="66"/>
      <c r="S31" s="66"/>
      <c r="T31" s="67"/>
      <c r="U31" s="68"/>
      <c r="V31" s="69"/>
      <c r="W31" s="69"/>
      <c r="X31" s="70"/>
      <c r="Y31" s="83" t="str">
        <f t="shared" si="0"/>
        <v/>
      </c>
      <c r="Z31" s="84"/>
      <c r="AA31" s="84"/>
      <c r="AB31" s="84"/>
      <c r="AC31" s="85"/>
      <c r="AD31" s="74" t="s">
        <v>48</v>
      </c>
      <c r="AE31" s="75"/>
      <c r="AF31" s="75"/>
      <c r="AG31" s="75"/>
      <c r="AH31" s="75"/>
      <c r="AI31" s="75"/>
      <c r="AJ31" s="75"/>
      <c r="AK31" s="75"/>
      <c r="AL31" s="76"/>
    </row>
    <row r="32" spans="1:38" ht="16.95" customHeight="1">
      <c r="A32" s="62" t="s">
        <v>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4"/>
      <c r="M32" s="80">
        <v>4</v>
      </c>
      <c r="N32" s="81"/>
      <c r="O32" s="81"/>
      <c r="P32" s="82"/>
      <c r="Q32" s="80" t="s">
        <v>47</v>
      </c>
      <c r="R32" s="81"/>
      <c r="S32" s="81"/>
      <c r="T32" s="82"/>
      <c r="U32" s="68"/>
      <c r="V32" s="69"/>
      <c r="W32" s="69"/>
      <c r="X32" s="70"/>
      <c r="Y32" s="71" t="str">
        <f t="shared" si="0"/>
        <v/>
      </c>
      <c r="Z32" s="72"/>
      <c r="AA32" s="72"/>
      <c r="AB32" s="72"/>
      <c r="AC32" s="73"/>
      <c r="AD32" s="74" t="s">
        <v>50</v>
      </c>
      <c r="AE32" s="75"/>
      <c r="AF32" s="75"/>
      <c r="AG32" s="75"/>
      <c r="AH32" s="75"/>
      <c r="AI32" s="75"/>
      <c r="AJ32" s="75"/>
      <c r="AK32" s="75"/>
      <c r="AL32" s="76"/>
    </row>
    <row r="33" spans="1:38" ht="16.95" customHeight="1">
      <c r="A33" s="62" t="s">
        <v>51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4"/>
      <c r="M33" s="65">
        <v>3</v>
      </c>
      <c r="N33" s="66"/>
      <c r="O33" s="66"/>
      <c r="P33" s="67"/>
      <c r="Q33" s="65" t="s">
        <v>33</v>
      </c>
      <c r="R33" s="66"/>
      <c r="S33" s="66"/>
      <c r="T33" s="67"/>
      <c r="U33" s="68"/>
      <c r="V33" s="69"/>
      <c r="W33" s="69"/>
      <c r="X33" s="70"/>
      <c r="Y33" s="71" t="str">
        <f t="shared" si="0"/>
        <v/>
      </c>
      <c r="Z33" s="72"/>
      <c r="AA33" s="72"/>
      <c r="AB33" s="72"/>
      <c r="AC33" s="73"/>
      <c r="AD33" s="74" t="s">
        <v>34</v>
      </c>
      <c r="AE33" s="75"/>
      <c r="AF33" s="75"/>
      <c r="AG33" s="75"/>
      <c r="AH33" s="75"/>
      <c r="AI33" s="75"/>
      <c r="AJ33" s="75"/>
      <c r="AK33" s="75"/>
      <c r="AL33" s="76"/>
    </row>
    <row r="34" spans="1:38" ht="16.95" customHeight="1">
      <c r="A34" s="77" t="s">
        <v>52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80"/>
      <c r="N34" s="81"/>
      <c r="O34" s="81"/>
      <c r="P34" s="82"/>
      <c r="Q34" s="80"/>
      <c r="R34" s="81"/>
      <c r="S34" s="81"/>
      <c r="T34" s="82"/>
      <c r="U34" s="68"/>
      <c r="V34" s="69"/>
      <c r="W34" s="69"/>
      <c r="X34" s="70"/>
      <c r="Y34" s="71">
        <f>SUM(Y22:AC33)</f>
        <v>0</v>
      </c>
      <c r="Z34" s="72"/>
      <c r="AA34" s="72"/>
      <c r="AB34" s="72"/>
      <c r="AC34" s="73"/>
      <c r="AD34" s="74" t="s">
        <v>53</v>
      </c>
      <c r="AE34" s="75"/>
      <c r="AF34" s="75"/>
      <c r="AG34" s="75"/>
      <c r="AH34" s="75"/>
      <c r="AI34" s="75"/>
      <c r="AJ34" s="75"/>
      <c r="AK34" s="75"/>
      <c r="AL34" s="76"/>
    </row>
    <row r="35" spans="1:38" ht="16.95" customHeight="1">
      <c r="A35" s="62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4"/>
      <c r="M35" s="80"/>
      <c r="N35" s="81"/>
      <c r="O35" s="81"/>
      <c r="P35" s="82"/>
      <c r="Q35" s="80"/>
      <c r="R35" s="81"/>
      <c r="S35" s="81"/>
      <c r="T35" s="82"/>
      <c r="U35" s="68"/>
      <c r="V35" s="69"/>
      <c r="W35" s="69"/>
      <c r="X35" s="70"/>
      <c r="Y35" s="71" t="str">
        <f t="shared" ref="Y35:Y40" si="1">IF(OR(M35="",U35=""),"",ROUND(M35*U35,0))</f>
        <v/>
      </c>
      <c r="Z35" s="72"/>
      <c r="AA35" s="72"/>
      <c r="AB35" s="72"/>
      <c r="AC35" s="73"/>
      <c r="AD35" s="74"/>
      <c r="AE35" s="75"/>
      <c r="AF35" s="75"/>
      <c r="AG35" s="75"/>
      <c r="AH35" s="75"/>
      <c r="AI35" s="75"/>
      <c r="AJ35" s="75"/>
      <c r="AK35" s="75"/>
      <c r="AL35" s="76"/>
    </row>
    <row r="36" spans="1:38" ht="16.95" customHeight="1">
      <c r="A36" s="62" t="s">
        <v>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4"/>
      <c r="M36" s="80"/>
      <c r="N36" s="81"/>
      <c r="O36" s="81"/>
      <c r="P36" s="82"/>
      <c r="Q36" s="80"/>
      <c r="R36" s="81"/>
      <c r="S36" s="81"/>
      <c r="T36" s="82"/>
      <c r="U36" s="68"/>
      <c r="V36" s="69"/>
      <c r="W36" s="69"/>
      <c r="X36" s="70"/>
      <c r="Y36" s="71" t="str">
        <f t="shared" si="1"/>
        <v/>
      </c>
      <c r="Z36" s="72"/>
      <c r="AA36" s="72"/>
      <c r="AB36" s="72"/>
      <c r="AC36" s="73"/>
      <c r="AD36" s="74" t="s">
        <v>53</v>
      </c>
      <c r="AE36" s="75"/>
      <c r="AF36" s="75"/>
      <c r="AG36" s="75"/>
      <c r="AH36" s="75"/>
      <c r="AI36" s="75"/>
      <c r="AJ36" s="75"/>
      <c r="AK36" s="75"/>
      <c r="AL36" s="76"/>
    </row>
    <row r="37" spans="1:38" ht="16.95" customHeight="1">
      <c r="A37" s="62" t="s">
        <v>55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4"/>
      <c r="M37" s="80">
        <v>5</v>
      </c>
      <c r="N37" s="81"/>
      <c r="O37" s="81"/>
      <c r="P37" s="82"/>
      <c r="Q37" s="80" t="s">
        <v>56</v>
      </c>
      <c r="R37" s="81"/>
      <c r="S37" s="81"/>
      <c r="T37" s="82"/>
      <c r="U37" s="68"/>
      <c r="V37" s="69"/>
      <c r="W37" s="69"/>
      <c r="X37" s="70"/>
      <c r="Y37" s="71" t="str">
        <f t="shared" si="1"/>
        <v/>
      </c>
      <c r="Z37" s="72"/>
      <c r="AA37" s="72"/>
      <c r="AB37" s="72"/>
      <c r="AC37" s="73"/>
      <c r="AD37" s="74" t="s">
        <v>26</v>
      </c>
      <c r="AE37" s="75"/>
      <c r="AF37" s="75"/>
      <c r="AG37" s="75"/>
      <c r="AH37" s="75"/>
      <c r="AI37" s="75"/>
      <c r="AJ37" s="75"/>
      <c r="AK37" s="75"/>
      <c r="AL37" s="76"/>
    </row>
    <row r="38" spans="1:38" ht="16.95" customHeight="1">
      <c r="A38" s="62" t="s">
        <v>57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4"/>
      <c r="M38" s="65">
        <v>2</v>
      </c>
      <c r="N38" s="66"/>
      <c r="O38" s="66"/>
      <c r="P38" s="67"/>
      <c r="Q38" s="65" t="s">
        <v>58</v>
      </c>
      <c r="R38" s="66"/>
      <c r="S38" s="66"/>
      <c r="T38" s="67"/>
      <c r="U38" s="68"/>
      <c r="V38" s="69"/>
      <c r="W38" s="69"/>
      <c r="X38" s="70"/>
      <c r="Y38" s="71" t="str">
        <f t="shared" si="1"/>
        <v/>
      </c>
      <c r="Z38" s="72"/>
      <c r="AA38" s="72"/>
      <c r="AB38" s="72"/>
      <c r="AC38" s="73"/>
      <c r="AD38" s="74" t="s">
        <v>39</v>
      </c>
      <c r="AE38" s="75"/>
      <c r="AF38" s="75"/>
      <c r="AG38" s="75"/>
      <c r="AH38" s="75"/>
      <c r="AI38" s="75"/>
      <c r="AJ38" s="75"/>
      <c r="AK38" s="75"/>
      <c r="AL38" s="76"/>
    </row>
    <row r="39" spans="1:38" ht="16.95" customHeight="1">
      <c r="A39" s="62" t="s">
        <v>59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4"/>
      <c r="M39" s="65">
        <v>3</v>
      </c>
      <c r="N39" s="66"/>
      <c r="O39" s="66"/>
      <c r="P39" s="67"/>
      <c r="Q39" s="65" t="s">
        <v>58</v>
      </c>
      <c r="R39" s="66"/>
      <c r="S39" s="66"/>
      <c r="T39" s="67"/>
      <c r="U39" s="68"/>
      <c r="V39" s="69"/>
      <c r="W39" s="69"/>
      <c r="X39" s="70"/>
      <c r="Y39" s="71" t="str">
        <f t="shared" si="1"/>
        <v/>
      </c>
      <c r="Z39" s="72"/>
      <c r="AA39" s="72"/>
      <c r="AB39" s="72"/>
      <c r="AC39" s="73"/>
      <c r="AD39" s="74" t="s">
        <v>39</v>
      </c>
      <c r="AE39" s="75"/>
      <c r="AF39" s="75"/>
      <c r="AG39" s="75"/>
      <c r="AH39" s="75"/>
      <c r="AI39" s="75"/>
      <c r="AJ39" s="75"/>
      <c r="AK39" s="75"/>
      <c r="AL39" s="76"/>
    </row>
    <row r="40" spans="1:38" ht="16.95" customHeight="1">
      <c r="A40" s="62" t="s">
        <v>60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4"/>
      <c r="M40" s="65">
        <v>3</v>
      </c>
      <c r="N40" s="66"/>
      <c r="O40" s="66"/>
      <c r="P40" s="67"/>
      <c r="Q40" s="65" t="s">
        <v>56</v>
      </c>
      <c r="R40" s="66"/>
      <c r="S40" s="66"/>
      <c r="T40" s="67"/>
      <c r="U40" s="68"/>
      <c r="V40" s="69"/>
      <c r="W40" s="69"/>
      <c r="X40" s="70"/>
      <c r="Y40" s="71" t="str">
        <f t="shared" si="1"/>
        <v/>
      </c>
      <c r="Z40" s="72"/>
      <c r="AA40" s="72"/>
      <c r="AB40" s="72"/>
      <c r="AC40" s="73"/>
      <c r="AD40" s="74" t="s">
        <v>41</v>
      </c>
      <c r="AE40" s="75"/>
      <c r="AF40" s="75"/>
      <c r="AG40" s="75"/>
      <c r="AH40" s="75"/>
      <c r="AI40" s="75"/>
      <c r="AJ40" s="75"/>
      <c r="AK40" s="75"/>
      <c r="AL40" s="76"/>
    </row>
    <row r="41" spans="1:38" ht="16.95" customHeight="1">
      <c r="A41" s="77" t="s">
        <v>61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9"/>
      <c r="M41" s="65">
        <v>35</v>
      </c>
      <c r="N41" s="66"/>
      <c r="O41" s="66"/>
      <c r="P41" s="67"/>
      <c r="Q41" s="65" t="s">
        <v>36</v>
      </c>
      <c r="R41" s="66"/>
      <c r="S41" s="66"/>
      <c r="T41" s="67"/>
      <c r="U41" s="68"/>
      <c r="V41" s="69"/>
      <c r="W41" s="69"/>
      <c r="X41" s="70"/>
      <c r="Y41" s="71">
        <f>SUM(Y37:AC40)</f>
        <v>0</v>
      </c>
      <c r="Z41" s="72"/>
      <c r="AA41" s="72"/>
      <c r="AB41" s="72"/>
      <c r="AC41" s="73"/>
      <c r="AD41" s="74" t="s">
        <v>62</v>
      </c>
      <c r="AE41" s="75"/>
      <c r="AF41" s="75"/>
      <c r="AG41" s="75"/>
      <c r="AH41" s="75"/>
      <c r="AI41" s="75"/>
      <c r="AJ41" s="75"/>
      <c r="AK41" s="75"/>
      <c r="AL41" s="76"/>
    </row>
    <row r="42" spans="1:38" ht="16.95" customHeight="1">
      <c r="A42" s="77" t="s">
        <v>52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9"/>
      <c r="M42" s="65"/>
      <c r="N42" s="66"/>
      <c r="O42" s="66"/>
      <c r="P42" s="67"/>
      <c r="Q42" s="65"/>
      <c r="R42" s="66"/>
      <c r="S42" s="66"/>
      <c r="T42" s="67"/>
      <c r="U42" s="68"/>
      <c r="V42" s="69"/>
      <c r="W42" s="69"/>
      <c r="X42" s="70"/>
      <c r="Y42" s="71">
        <f>SUM(Y37:AC41)</f>
        <v>0</v>
      </c>
      <c r="Z42" s="72"/>
      <c r="AA42" s="72"/>
      <c r="AB42" s="72"/>
      <c r="AC42" s="73"/>
      <c r="AD42" s="74" t="s">
        <v>53</v>
      </c>
      <c r="AE42" s="75"/>
      <c r="AF42" s="75"/>
      <c r="AG42" s="75"/>
      <c r="AH42" s="75"/>
      <c r="AI42" s="75"/>
      <c r="AJ42" s="75"/>
      <c r="AK42" s="75"/>
      <c r="AL42" s="76"/>
    </row>
    <row r="43" spans="1:38" ht="16.95" customHeight="1">
      <c r="A43" s="62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4"/>
      <c r="M43" s="65"/>
      <c r="N43" s="66"/>
      <c r="O43" s="66"/>
      <c r="P43" s="67"/>
      <c r="Q43" s="65"/>
      <c r="R43" s="66"/>
      <c r="S43" s="66"/>
      <c r="T43" s="67"/>
      <c r="U43" s="68"/>
      <c r="V43" s="69"/>
      <c r="W43" s="69"/>
      <c r="X43" s="70"/>
      <c r="Y43" s="71" t="str">
        <f>IF(OR(M43="",U43=""),"",ROUND(M43*U43,0))</f>
        <v/>
      </c>
      <c r="Z43" s="72"/>
      <c r="AA43" s="72"/>
      <c r="AB43" s="72"/>
      <c r="AC43" s="73"/>
      <c r="AD43" s="74"/>
      <c r="AE43" s="75"/>
      <c r="AF43" s="75"/>
      <c r="AG43" s="75"/>
      <c r="AH43" s="75"/>
      <c r="AI43" s="75"/>
      <c r="AJ43" s="75"/>
      <c r="AK43" s="75"/>
      <c r="AL43" s="76"/>
    </row>
    <row r="44" spans="1:38" ht="16.95" customHeight="1">
      <c r="A44" s="62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4"/>
      <c r="M44" s="65"/>
      <c r="N44" s="66"/>
      <c r="O44" s="66"/>
      <c r="P44" s="67"/>
      <c r="Q44" s="65"/>
      <c r="R44" s="66"/>
      <c r="S44" s="66"/>
      <c r="T44" s="67"/>
      <c r="U44" s="68"/>
      <c r="V44" s="69"/>
      <c r="W44" s="69"/>
      <c r="X44" s="70"/>
      <c r="Y44" s="71" t="str">
        <f>IF(OR(M44="",U44=""),"",ROUND(M44*U44,0))</f>
        <v/>
      </c>
      <c r="Z44" s="72"/>
      <c r="AA44" s="72"/>
      <c r="AB44" s="72"/>
      <c r="AC44" s="73"/>
      <c r="AD44" s="74"/>
      <c r="AE44" s="75"/>
      <c r="AF44" s="75"/>
      <c r="AG44" s="75"/>
      <c r="AH44" s="75"/>
      <c r="AI44" s="75"/>
      <c r="AJ44" s="75"/>
      <c r="AK44" s="75"/>
      <c r="AL44" s="76"/>
    </row>
    <row r="45" spans="1:38" ht="16.95" customHeight="1" thickBot="1">
      <c r="A45" s="47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9"/>
      <c r="M45" s="50"/>
      <c r="N45" s="51"/>
      <c r="O45" s="51"/>
      <c r="P45" s="52"/>
      <c r="Q45" s="50"/>
      <c r="R45" s="51"/>
      <c r="S45" s="51"/>
      <c r="T45" s="52"/>
      <c r="U45" s="53"/>
      <c r="V45" s="54"/>
      <c r="W45" s="54"/>
      <c r="X45" s="55"/>
      <c r="Y45" s="56" t="str">
        <f>IF(OR(M45="",U45=""),"",ROUND(M45*U45,0))</f>
        <v/>
      </c>
      <c r="Z45" s="57"/>
      <c r="AA45" s="57"/>
      <c r="AB45" s="57"/>
      <c r="AC45" s="58"/>
      <c r="AD45" s="59"/>
      <c r="AE45" s="60"/>
      <c r="AF45" s="60"/>
      <c r="AG45" s="60"/>
      <c r="AH45" s="60"/>
      <c r="AI45" s="60"/>
      <c r="AJ45" s="60"/>
      <c r="AK45" s="60"/>
      <c r="AL45" s="61"/>
    </row>
    <row r="46" spans="1:38" ht="16.95" customHeight="1" thickTop="1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8"/>
      <c r="M46" s="17"/>
      <c r="N46" s="17"/>
      <c r="O46" s="33" t="s">
        <v>63</v>
      </c>
      <c r="P46" s="33"/>
      <c r="Q46" s="33"/>
      <c r="R46" s="33"/>
      <c r="S46" s="33"/>
      <c r="T46" s="33"/>
      <c r="U46" s="33"/>
      <c r="V46" s="33"/>
      <c r="W46" s="17"/>
      <c r="X46" s="19"/>
      <c r="Y46" s="34">
        <f ca="1">SUMIF(A21:L45,"小計",Y21:AC45 )</f>
        <v>0</v>
      </c>
      <c r="Z46" s="35"/>
      <c r="AA46" s="35"/>
      <c r="AB46" s="35"/>
      <c r="AC46" s="36"/>
      <c r="AD46" s="37"/>
      <c r="AE46" s="38"/>
      <c r="AF46" s="38"/>
      <c r="AG46" s="38"/>
      <c r="AH46" s="38"/>
      <c r="AI46" s="38"/>
      <c r="AJ46" s="38"/>
      <c r="AK46" s="38"/>
      <c r="AL46" s="39"/>
    </row>
    <row r="47" spans="1:38" ht="16.95" customHeight="1" thickBot="1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1"/>
      <c r="M47" s="11"/>
      <c r="N47" s="21"/>
      <c r="O47" s="40" t="s">
        <v>64</v>
      </c>
      <c r="P47" s="40"/>
      <c r="Q47" s="40"/>
      <c r="R47" s="40"/>
      <c r="S47" s="40"/>
      <c r="T47" s="40"/>
      <c r="U47" s="40"/>
      <c r="V47" s="40"/>
      <c r="W47" s="21"/>
      <c r="X47" s="12"/>
      <c r="Y47" s="41"/>
      <c r="Z47" s="42"/>
      <c r="AA47" s="42"/>
      <c r="AB47" s="42"/>
      <c r="AC47" s="43"/>
      <c r="AD47" s="44"/>
      <c r="AE47" s="45"/>
      <c r="AF47" s="45"/>
      <c r="AG47" s="45"/>
      <c r="AH47" s="45"/>
      <c r="AI47" s="45"/>
      <c r="AJ47" s="45"/>
      <c r="AK47" s="45"/>
      <c r="AL47" s="46"/>
    </row>
    <row r="48" spans="1:38" ht="16.95" customHeight="1" thickBo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4"/>
      <c r="M48" s="25"/>
      <c r="N48" s="23"/>
      <c r="O48" s="29" t="s">
        <v>65</v>
      </c>
      <c r="P48" s="29"/>
      <c r="Q48" s="29"/>
      <c r="R48" s="29"/>
      <c r="S48" s="29"/>
      <c r="T48" s="29"/>
      <c r="U48" s="29"/>
      <c r="V48" s="29"/>
      <c r="W48" s="23"/>
      <c r="X48" s="26"/>
      <c r="Y48" s="30">
        <f ca="1">SUM(Y46:AC47)</f>
        <v>0</v>
      </c>
      <c r="Z48" s="31"/>
      <c r="AA48" s="31"/>
      <c r="AB48" s="31"/>
      <c r="AC48" s="32"/>
      <c r="AD48" s="27"/>
      <c r="AE48" s="24"/>
      <c r="AF48" s="24"/>
      <c r="AG48" s="24"/>
      <c r="AH48" s="24"/>
      <c r="AI48" s="24"/>
      <c r="AJ48" s="24"/>
      <c r="AK48" s="23"/>
      <c r="AL48" s="28" t="s">
        <v>66</v>
      </c>
    </row>
  </sheetData>
  <sheetProtection algorithmName="SHA-512" hashValue="9nQqPTgNR5/UQGXjISRzln68sYbi4hcoG9mnnqKtfPFgJ/RC29TngzHdxw2+kSJd43WAXAiDnQTJcM+Bvd+kTw==" saltValue="28z8q1I6Q9WQxuxlIN528Q==" spinCount="100000" sheet="1" objects="1" scenarios="1"/>
  <mergeCells count="229">
    <mergeCell ref="N1:Y2"/>
    <mergeCell ref="AE1:AL1"/>
    <mergeCell ref="T5:AD5"/>
    <mergeCell ref="AE5:AH5"/>
    <mergeCell ref="AI5:AL5"/>
    <mergeCell ref="A6:L6"/>
    <mergeCell ref="M6:S6"/>
    <mergeCell ref="T6:AD6"/>
    <mergeCell ref="AI6:AL7"/>
    <mergeCell ref="A7:F7"/>
    <mergeCell ref="G7:P7"/>
    <mergeCell ref="Q7:S7"/>
    <mergeCell ref="T7:AD7"/>
    <mergeCell ref="T8:AD8"/>
    <mergeCell ref="AE8:AL8"/>
    <mergeCell ref="A9:E9"/>
    <mergeCell ref="F9:S9"/>
    <mergeCell ref="T9:Z9"/>
    <mergeCell ref="AA9:AL9"/>
    <mergeCell ref="AH11:AL11"/>
    <mergeCell ref="A12:I12"/>
    <mergeCell ref="J12:N12"/>
    <mergeCell ref="O12:S12"/>
    <mergeCell ref="T12:AB12"/>
    <mergeCell ref="AC12:AG12"/>
    <mergeCell ref="AH12:AL12"/>
    <mergeCell ref="A10:E10"/>
    <mergeCell ref="F10:S10"/>
    <mergeCell ref="T10:Z10"/>
    <mergeCell ref="AA10:AL10"/>
    <mergeCell ref="A11:I11"/>
    <mergeCell ref="J11:N11"/>
    <mergeCell ref="O11:S11"/>
    <mergeCell ref="T11:AB11"/>
    <mergeCell ref="AC11:AG11"/>
    <mergeCell ref="A14:I14"/>
    <mergeCell ref="J14:N14"/>
    <mergeCell ref="O14:S14"/>
    <mergeCell ref="T14:AB14"/>
    <mergeCell ref="AC14:AG14"/>
    <mergeCell ref="AH14:AL14"/>
    <mergeCell ref="A13:I13"/>
    <mergeCell ref="J13:N13"/>
    <mergeCell ref="O13:S13"/>
    <mergeCell ref="T13:AB13"/>
    <mergeCell ref="AC13:AG13"/>
    <mergeCell ref="AH13:AL13"/>
    <mergeCell ref="A16:I16"/>
    <mergeCell ref="J16:N16"/>
    <mergeCell ref="O16:S16"/>
    <mergeCell ref="T16:AB16"/>
    <mergeCell ref="AC16:AG16"/>
    <mergeCell ref="AH16:AL16"/>
    <mergeCell ref="A15:I15"/>
    <mergeCell ref="J15:N15"/>
    <mergeCell ref="O15:S15"/>
    <mergeCell ref="T15:AB15"/>
    <mergeCell ref="AC15:AG15"/>
    <mergeCell ref="AH15:AL15"/>
    <mergeCell ref="A19:L20"/>
    <mergeCell ref="M19:P20"/>
    <mergeCell ref="Q19:T20"/>
    <mergeCell ref="U19:X20"/>
    <mergeCell ref="Y19:AC20"/>
    <mergeCell ref="AD19:AL20"/>
    <mergeCell ref="A17:I17"/>
    <mergeCell ref="J17:N17"/>
    <mergeCell ref="O17:S17"/>
    <mergeCell ref="T17:AB17"/>
    <mergeCell ref="AC17:AG17"/>
    <mergeCell ref="AH17:AL17"/>
    <mergeCell ref="A22:L22"/>
    <mergeCell ref="M22:P22"/>
    <mergeCell ref="Q22:T22"/>
    <mergeCell ref="U22:X22"/>
    <mergeCell ref="Y22:AC22"/>
    <mergeCell ref="AD22:AL22"/>
    <mergeCell ref="A21:L21"/>
    <mergeCell ref="M21:P21"/>
    <mergeCell ref="Q21:T21"/>
    <mergeCell ref="U21:X21"/>
    <mergeCell ref="Y21:AC21"/>
    <mergeCell ref="AD21:AL21"/>
    <mergeCell ref="A24:L24"/>
    <mergeCell ref="M24:P24"/>
    <mergeCell ref="Q24:T24"/>
    <mergeCell ref="U24:X24"/>
    <mergeCell ref="Y24:AC24"/>
    <mergeCell ref="AD24:AL24"/>
    <mergeCell ref="A23:L23"/>
    <mergeCell ref="M23:P23"/>
    <mergeCell ref="Q23:T23"/>
    <mergeCell ref="U23:X23"/>
    <mergeCell ref="Y23:AC23"/>
    <mergeCell ref="AD23:AL23"/>
    <mergeCell ref="A26:L26"/>
    <mergeCell ref="M26:P26"/>
    <mergeCell ref="Q26:T26"/>
    <mergeCell ref="U26:X26"/>
    <mergeCell ref="Y26:AC26"/>
    <mergeCell ref="AD26:AL26"/>
    <mergeCell ref="A25:L25"/>
    <mergeCell ref="M25:P25"/>
    <mergeCell ref="Q25:T25"/>
    <mergeCell ref="U25:X25"/>
    <mergeCell ref="Y25:AC25"/>
    <mergeCell ref="AD25:AL25"/>
    <mergeCell ref="A28:L28"/>
    <mergeCell ref="M28:P28"/>
    <mergeCell ref="Q28:T28"/>
    <mergeCell ref="U28:X28"/>
    <mergeCell ref="Y28:AC28"/>
    <mergeCell ref="AD28:AL28"/>
    <mergeCell ref="A27:L27"/>
    <mergeCell ref="M27:P27"/>
    <mergeCell ref="Q27:T27"/>
    <mergeCell ref="U27:X27"/>
    <mergeCell ref="Y27:AC27"/>
    <mergeCell ref="AD27:AL27"/>
    <mergeCell ref="A30:L30"/>
    <mergeCell ref="M30:P30"/>
    <mergeCell ref="Q30:T30"/>
    <mergeCell ref="U30:X30"/>
    <mergeCell ref="Y30:AC30"/>
    <mergeCell ref="AD30:AL30"/>
    <mergeCell ref="A29:L29"/>
    <mergeCell ref="M29:P29"/>
    <mergeCell ref="Q29:T29"/>
    <mergeCell ref="U29:X29"/>
    <mergeCell ref="Y29:AC29"/>
    <mergeCell ref="AD29:AL29"/>
    <mergeCell ref="A32:L32"/>
    <mergeCell ref="M32:P32"/>
    <mergeCell ref="Q32:T32"/>
    <mergeCell ref="U32:X32"/>
    <mergeCell ref="Y32:AC32"/>
    <mergeCell ref="AD32:AL32"/>
    <mergeCell ref="A31:L31"/>
    <mergeCell ref="M31:P31"/>
    <mergeCell ref="Q31:T31"/>
    <mergeCell ref="U31:X31"/>
    <mergeCell ref="Y31:AC31"/>
    <mergeCell ref="AD31:AL31"/>
    <mergeCell ref="A34:L34"/>
    <mergeCell ref="M34:P34"/>
    <mergeCell ref="Q34:T34"/>
    <mergeCell ref="U34:X34"/>
    <mergeCell ref="Y34:AC34"/>
    <mergeCell ref="AD34:AL34"/>
    <mergeCell ref="A33:L33"/>
    <mergeCell ref="M33:P33"/>
    <mergeCell ref="Q33:T33"/>
    <mergeCell ref="U33:X33"/>
    <mergeCell ref="Y33:AC33"/>
    <mergeCell ref="AD33:AL33"/>
    <mergeCell ref="A36:L36"/>
    <mergeCell ref="M36:P36"/>
    <mergeCell ref="Q36:T36"/>
    <mergeCell ref="U36:X36"/>
    <mergeCell ref="Y36:AC36"/>
    <mergeCell ref="AD36:AL36"/>
    <mergeCell ref="A35:L35"/>
    <mergeCell ref="M35:P35"/>
    <mergeCell ref="Q35:T35"/>
    <mergeCell ref="U35:X35"/>
    <mergeCell ref="Y35:AC35"/>
    <mergeCell ref="AD35:AL35"/>
    <mergeCell ref="A38:L38"/>
    <mergeCell ref="M38:P38"/>
    <mergeCell ref="Q38:T38"/>
    <mergeCell ref="U38:X38"/>
    <mergeCell ref="Y38:AC38"/>
    <mergeCell ref="AD38:AL38"/>
    <mergeCell ref="A37:L37"/>
    <mergeCell ref="M37:P37"/>
    <mergeCell ref="Q37:T37"/>
    <mergeCell ref="U37:X37"/>
    <mergeCell ref="Y37:AC37"/>
    <mergeCell ref="AD37:AL37"/>
    <mergeCell ref="A40:L40"/>
    <mergeCell ref="M40:P40"/>
    <mergeCell ref="Q40:T40"/>
    <mergeCell ref="U40:X40"/>
    <mergeCell ref="Y40:AC40"/>
    <mergeCell ref="AD40:AL40"/>
    <mergeCell ref="A39:L39"/>
    <mergeCell ref="M39:P39"/>
    <mergeCell ref="Q39:T39"/>
    <mergeCell ref="U39:X39"/>
    <mergeCell ref="Y39:AC39"/>
    <mergeCell ref="AD39:AL39"/>
    <mergeCell ref="A42:L42"/>
    <mergeCell ref="M42:P42"/>
    <mergeCell ref="Q42:T42"/>
    <mergeCell ref="U42:X42"/>
    <mergeCell ref="Y42:AC42"/>
    <mergeCell ref="AD42:AL42"/>
    <mergeCell ref="A41:L41"/>
    <mergeCell ref="M41:P41"/>
    <mergeCell ref="Q41:T41"/>
    <mergeCell ref="U41:X41"/>
    <mergeCell ref="Y41:AC41"/>
    <mergeCell ref="AD41:AL41"/>
    <mergeCell ref="A44:L44"/>
    <mergeCell ref="M44:P44"/>
    <mergeCell ref="Q44:T44"/>
    <mergeCell ref="U44:X44"/>
    <mergeCell ref="Y44:AC44"/>
    <mergeCell ref="AD44:AL44"/>
    <mergeCell ref="A43:L43"/>
    <mergeCell ref="M43:P43"/>
    <mergeCell ref="Q43:T43"/>
    <mergeCell ref="U43:X43"/>
    <mergeCell ref="Y43:AC43"/>
    <mergeCell ref="AD43:AL43"/>
    <mergeCell ref="O48:V48"/>
    <mergeCell ref="Y48:AC48"/>
    <mergeCell ref="O46:V46"/>
    <mergeCell ref="Y46:AC46"/>
    <mergeCell ref="AD46:AL46"/>
    <mergeCell ref="O47:V47"/>
    <mergeCell ref="Y47:AC47"/>
    <mergeCell ref="AD47:AL47"/>
    <mergeCell ref="A45:L45"/>
    <mergeCell ref="M45:P45"/>
    <mergeCell ref="Q45:T45"/>
    <mergeCell ref="U45:X45"/>
    <mergeCell ref="Y45:AC45"/>
    <mergeCell ref="AD45:AL45"/>
  </mergeCells>
  <phoneticPr fontId="3"/>
  <conditionalFormatting sqref="O47:V47">
    <cfRule type="expression" dxfId="0" priority="11">
      <formula>#REF!&lt;&gt;1</formula>
    </cfRule>
  </conditionalFormatting>
  <printOptions horizontalCentered="1" verticalCentered="1"/>
  <pageMargins left="0.23622047244094491" right="0.23622047244094491" top="0" bottom="0" header="0" footer="0"/>
  <pageSetup paperSize="9" scale="9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見積書</vt:lpstr>
      <vt:lpstr>見積書!Print_Area</vt:lpstr>
      <vt:lpstr>ページ1</vt:lpstr>
    </vt:vector>
  </TitlesOfParts>
  <Company>出光興産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家治　清悟</dc:creator>
  <cp:lastModifiedBy>家治　清悟</cp:lastModifiedBy>
  <dcterms:created xsi:type="dcterms:W3CDTF">2026-04-24T05:23:32Z</dcterms:created>
  <dcterms:modified xsi:type="dcterms:W3CDTF">2026-05-13T08:04:04Z</dcterms:modified>
</cp:coreProperties>
</file>